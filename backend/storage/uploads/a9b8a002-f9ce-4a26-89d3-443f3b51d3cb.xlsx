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R:\Департамент внутрискважинных работ и супервайзинга\Движ\График для рассылки\"/>
    </mc:Choice>
  </mc:AlternateContent>
  <xr:revisionPtr revIDLastSave="0" documentId="8_{99B2ADFD-4797-46F2-AEA6-92E33C656404}" xr6:coauthVersionLast="47" xr6:coauthVersionMax="47" xr10:uidLastSave="{00000000-0000-0000-0000-000000000000}"/>
  <bookViews>
    <workbookView xWindow="38280" yWindow="15" windowWidth="38640" windowHeight="21120" xr2:uid="{00000000-000D-0000-FFFF-FFFF00000000}"/>
  </bookViews>
  <sheets>
    <sheet name="График ТКРС" sheetId="2" r:id="rId1"/>
    <sheet name="Недельный график ТКРС" sheetId="5" r:id="rId2"/>
    <sheet name="Лист2" sheetId="4" r:id="rId3"/>
    <sheet name="лист1" sheetId="3" r:id="rId4"/>
    <sheet name="Каталог мероприятий" sheetId="6" r:id="rId5"/>
  </sheets>
  <definedNames>
    <definedName name="ExternalData_1" localSheetId="0" hidden="1">'График ТКРС'!$A$1:$W$385</definedName>
    <definedName name="ExternalData_1" localSheetId="1" hidden="1">'Недельный график ТКРС'!$A$1:$P$22</definedName>
  </definedName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" i="5" l="1"/>
  <c r="T3" i="5"/>
  <c r="U3" i="5"/>
  <c r="S4" i="5"/>
  <c r="T4" i="5"/>
  <c r="U4" i="5"/>
  <c r="S5" i="5"/>
  <c r="T5" i="5"/>
  <c r="U5" i="5"/>
  <c r="S6" i="5"/>
  <c r="T6" i="5"/>
  <c r="U6" i="5"/>
  <c r="S7" i="5"/>
  <c r="T7" i="5"/>
  <c r="U7" i="5"/>
  <c r="S8" i="5"/>
  <c r="T8" i="5"/>
  <c r="U8" i="5"/>
  <c r="S9" i="5"/>
  <c r="T9" i="5"/>
  <c r="U9" i="5"/>
  <c r="S10" i="5"/>
  <c r="T10" i="5"/>
  <c r="U10" i="5"/>
  <c r="S11" i="5"/>
  <c r="T11" i="5"/>
  <c r="U11" i="5"/>
  <c r="S12" i="5"/>
  <c r="T12" i="5"/>
  <c r="U12" i="5"/>
  <c r="S13" i="5"/>
  <c r="T13" i="5"/>
  <c r="U13" i="5"/>
  <c r="S14" i="5"/>
  <c r="T14" i="5"/>
  <c r="U14" i="5"/>
  <c r="S15" i="5"/>
  <c r="T15" i="5"/>
  <c r="U15" i="5"/>
  <c r="S16" i="5"/>
  <c r="T16" i="5"/>
  <c r="U16" i="5"/>
  <c r="S17" i="5"/>
  <c r="T17" i="5"/>
  <c r="U17" i="5"/>
  <c r="S18" i="5"/>
  <c r="T18" i="5"/>
  <c r="U18" i="5"/>
  <c r="S19" i="5"/>
  <c r="T19" i="5"/>
  <c r="U19" i="5"/>
  <c r="S20" i="5"/>
  <c r="T20" i="5"/>
  <c r="U20" i="5"/>
  <c r="S21" i="5"/>
  <c r="T21" i="5"/>
  <c r="U21" i="5"/>
  <c r="S22" i="5"/>
  <c r="T22" i="5"/>
  <c r="U22" i="5"/>
  <c r="S23" i="5"/>
  <c r="T23" i="5"/>
  <c r="U23" i="5"/>
  <c r="S24" i="5"/>
  <c r="T24" i="5"/>
  <c r="U24" i="5"/>
  <c r="S25" i="5"/>
  <c r="T25" i="5"/>
  <c r="U25" i="5"/>
  <c r="S26" i="5"/>
  <c r="T26" i="5"/>
  <c r="U26" i="5"/>
  <c r="S27" i="5"/>
  <c r="T27" i="5"/>
  <c r="U27" i="5"/>
  <c r="U2" i="5"/>
  <c r="T2" i="5"/>
  <c r="S2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Запрос — График ТКРС" description="Соединение с запросом &quot;График ТКРС&quot; в книге." type="5" refreshedVersion="7" background="1" saveData="1">
    <dbPr connection="Provider=Microsoft.Mashup.OleDb.1;Data Source=$Workbook$;Location=&quot;График ТКРС&quot;;Extended Properties=&quot;&quot;" command="SELECT * FROM [График ТКРС]"/>
    <extLst>
      <ext xmlns:x15="http://schemas.microsoft.com/office/spreadsheetml/2010/11/main" uri="{DE250136-89BD-433C-8126-D09CA5730AF9}">
        <x15:connection id="" excludeFromRefreshAll="1"/>
      </ext>
    </extLst>
  </connection>
  <connection id="2" xr16:uid="{B7861D45-FCEA-4E31-BFFD-9BDD86135229}" keepAlive="1" name="Запрос — Недельный график ТКРС" description="Соединение с запросом &quot;Недельный график ТКРС&quot; в книге." type="5" refreshedVersion="7" background="1" saveData="1">
    <dbPr connection="Provider=Microsoft.Mashup.OleDb.1;Data Source=$Workbook$;Location=&quot;Недельный график ТКРС&quot;;Extended Properties=&quot;&quot;" command="SELECT * FROM [Недельный график ТКРС]"/>
    <extLst>
      <ext xmlns:x15="http://schemas.microsoft.com/office/spreadsheetml/2010/11/main" uri="{DE250136-89BD-433C-8126-D09CA5730AF9}">
        <x15:connection id="" excludeFromRefreshAll="1"/>
      </ext>
    </extLst>
  </connection>
</connections>
</file>

<file path=xl/sharedStrings.xml><?xml version="1.0" encoding="utf-8"?>
<sst xmlns="http://schemas.openxmlformats.org/spreadsheetml/2006/main" count="9915" uniqueCount="1564">
  <si>
    <t>Участок</t>
  </si>
  <si>
    <t>Бригада</t>
  </si>
  <si>
    <t>Наличие НЗ/ПР</t>
  </si>
  <si>
    <t>статус</t>
  </si>
  <si>
    <t>Скв</t>
  </si>
  <si>
    <t>Куст</t>
  </si>
  <si>
    <t>дата начала (план)</t>
  </si>
  <si>
    <t>дата  ГТМ</t>
  </si>
  <si>
    <t>заверш рем (план)</t>
  </si>
  <si>
    <t xml:space="preserve">Дн. + актировка с 01.12-15.03 (формула) </t>
  </si>
  <si>
    <t>Метео</t>
  </si>
  <si>
    <t>Продолжительность</t>
  </si>
  <si>
    <t>Qж/Qг, м3/сут</t>
  </si>
  <si>
    <t>Н2О, %</t>
  </si>
  <si>
    <t>Qн, тн/сут</t>
  </si>
  <si>
    <t>ГФ, м3/м3</t>
  </si>
  <si>
    <t>вид КР</t>
  </si>
  <si>
    <t>Планируемый объем работ</t>
  </si>
  <si>
    <t>Дата выхода их бурения</t>
  </si>
  <si>
    <t>начГРП</t>
  </si>
  <si>
    <t>стадий ГРП</t>
  </si>
  <si>
    <t>заверш ГРП</t>
  </si>
  <si>
    <t>Приоритет</t>
  </si>
  <si>
    <t>готов</t>
  </si>
  <si>
    <t>высокий</t>
  </si>
  <si>
    <t>-</t>
  </si>
  <si>
    <t>смена ЭЦН на отказной скважине</t>
  </si>
  <si>
    <t>Средний</t>
  </si>
  <si>
    <t>Высокий</t>
  </si>
  <si>
    <t>Низкий</t>
  </si>
  <si>
    <t>ож эцн</t>
  </si>
  <si>
    <t>ПМД</t>
  </si>
  <si>
    <t>пр нет</t>
  </si>
  <si>
    <t>гнкт</t>
  </si>
  <si>
    <t>оптимизация</t>
  </si>
  <si>
    <t xml:space="preserve">Средний </t>
  </si>
  <si>
    <t>ГИС ОПП</t>
  </si>
  <si>
    <t>ЗР ГРП</t>
  </si>
  <si>
    <t>2</t>
  </si>
  <si>
    <t>1</t>
  </si>
  <si>
    <t>стор</t>
  </si>
  <si>
    <t>выполняется</t>
  </si>
  <si>
    <t>средний</t>
  </si>
  <si>
    <t>Смена ЭЦН на отказной скважине</t>
  </si>
  <si>
    <t>перевод в ППД</t>
  </si>
  <si>
    <t>Vt_6302</t>
  </si>
  <si>
    <t>нз нет</t>
  </si>
  <si>
    <t>1 КРС ООО "ИНК-ТКРС"</t>
  </si>
  <si>
    <t>КР-ОС-6</t>
  </si>
  <si>
    <t>ТР14-1.2</t>
  </si>
  <si>
    <t>КР11-1</t>
  </si>
  <si>
    <t>ТР5-1</t>
  </si>
  <si>
    <t>2 КРС ООО "ИНК-ТКРС"</t>
  </si>
  <si>
    <t>ТР8-1</t>
  </si>
  <si>
    <t>КР9-1</t>
  </si>
  <si>
    <t>3 КРС ООО "ИНК-ТКРС"</t>
  </si>
  <si>
    <t>ТР2-5.3</t>
  </si>
  <si>
    <t>КР-ОС-1</t>
  </si>
  <si>
    <t>ТР3-2</t>
  </si>
  <si>
    <t>5 КРС ООО "ИНК-ТКРС"</t>
  </si>
  <si>
    <t>6 КРС ООО "ИНК-ТКРС"</t>
  </si>
  <si>
    <t>ТР11-1</t>
  </si>
  <si>
    <t>КР7-3</t>
  </si>
  <si>
    <t>9 КРС ООО "ИНК-ТКРС"</t>
  </si>
  <si>
    <t>КР3-1</t>
  </si>
  <si>
    <t>10 КРС ООО "ИНК-ТКРС"</t>
  </si>
  <si>
    <t>13 КРС ООО "ИНК-ТКРС"</t>
  </si>
  <si>
    <t>16 КРС ООО "ИНК-ТКРС"</t>
  </si>
  <si>
    <t>19 КРС ООО "ИНК-ТКРС"</t>
  </si>
  <si>
    <t>23 КРС ООО "ИНК-ТКРС"</t>
  </si>
  <si>
    <t>24 КРС ООО "ИНК-ТКРС"</t>
  </si>
  <si>
    <t>27 КРС ООО "ИНК-ТКРС"</t>
  </si>
  <si>
    <t>28 КРС ООО "ИНК-ТКРС"</t>
  </si>
  <si>
    <t>30 КРС ООО "ИНК-ТКРС"</t>
  </si>
  <si>
    <t>31 КРС ООО "ИНК-ТКРС"</t>
  </si>
  <si>
    <t>33 КРС ООО "ИНК-ТКРС"</t>
  </si>
  <si>
    <t>35 КРС ООО "ИНК-ТКРС"</t>
  </si>
  <si>
    <t>36 КРС ООО "ИНК-ТКРС"</t>
  </si>
  <si>
    <t>37 КРС ООО "ИНК-ТКРС"</t>
  </si>
  <si>
    <t>3 Андижон ООО "АндижонНГКТваБ"-Русь"</t>
  </si>
  <si>
    <t>4 Андижон ООО "АндижонНГКТваБ"-Русь"</t>
  </si>
  <si>
    <t>5 Андижон ООО "АндижонНГКТваБ"-Русь"</t>
  </si>
  <si>
    <t>7 ГНКТ ООО "ИНК-ТКРС"</t>
  </si>
  <si>
    <t>КР8-2.1НТ</t>
  </si>
  <si>
    <t>КР13-1.3НТ</t>
  </si>
  <si>
    <t>15 ГНКТ ООО "ИНК-ТКРС"</t>
  </si>
  <si>
    <t>39 ГНКТ ООО "ИНК-ТКРС"</t>
  </si>
  <si>
    <t>Звено ОС №1 ООО "ИНК-ТКРС"</t>
  </si>
  <si>
    <t>Звено ОС №3 ООО "ИНК-ТКРС"</t>
  </si>
  <si>
    <t>КР7-2</t>
  </si>
  <si>
    <t>Vt_4608</t>
  </si>
  <si>
    <t xml:space="preserve">Пробурена </t>
  </si>
  <si>
    <t>КР3-1.1</t>
  </si>
  <si>
    <t>ВЦ НКТ</t>
  </si>
  <si>
    <t>Vt_9105</t>
  </si>
  <si>
    <t>нет в перечне</t>
  </si>
  <si>
    <t>КР13-13</t>
  </si>
  <si>
    <t>КР-ОС-7</t>
  </si>
  <si>
    <t>КР1-2.2</t>
  </si>
  <si>
    <t>Ma_710</t>
  </si>
  <si>
    <t>Mr_1911</t>
  </si>
  <si>
    <t>Msh_3703</t>
  </si>
  <si>
    <t>Vt_5105</t>
  </si>
  <si>
    <t>КР7-1</t>
  </si>
  <si>
    <t xml:space="preserve">Высокий </t>
  </si>
  <si>
    <t>КР11-2</t>
  </si>
  <si>
    <t>Au_24402</t>
  </si>
  <si>
    <t>ПР ГРП</t>
  </si>
  <si>
    <t>смена ЭЦН на отказной скважине с доп работами</t>
  </si>
  <si>
    <t>КР13-1.1</t>
  </si>
  <si>
    <t>4 КРС ООО "ИНК-ТКРС"</t>
  </si>
  <si>
    <t>1 Андижон ООО "АндижонНГКТваБ"-Русь"</t>
  </si>
  <si>
    <t>2 Андижон ООО "АндижонНГКТваБ"-Русь"</t>
  </si>
  <si>
    <t>34 КРС ООО "ИНК-ТКРС"</t>
  </si>
  <si>
    <t>Vt_4540</t>
  </si>
  <si>
    <t>Vt_5701</t>
  </si>
  <si>
    <t>эцн в налич</t>
  </si>
  <si>
    <t>Bt_1502</t>
  </si>
  <si>
    <t>НЗ</t>
  </si>
  <si>
    <t>ож грп</t>
  </si>
  <si>
    <t>Bt_1504</t>
  </si>
  <si>
    <t>Vt_8412</t>
  </si>
  <si>
    <t xml:space="preserve">Извлечение ЭЦН-500-1800 </t>
  </si>
  <si>
    <t>Ki_4706</t>
  </si>
  <si>
    <t xml:space="preserve">ВНС -  ГДК , селективное ОПЗ, спуск Э-100 </t>
  </si>
  <si>
    <t>КР-ОС-3</t>
  </si>
  <si>
    <t>Yaw_70408рс</t>
  </si>
  <si>
    <t>ВЦ</t>
  </si>
  <si>
    <t>Yaw_5604рс</t>
  </si>
  <si>
    <t>Vt_5009</t>
  </si>
  <si>
    <t>Ma_4401</t>
  </si>
  <si>
    <t>Смена ЭЦН на отказной скважине + ГИС (ИНГКС + СО + плотность и проводимость) 1560-2290м (спуск капилярной трубки)</t>
  </si>
  <si>
    <t>Ya_208</t>
  </si>
  <si>
    <t>Msh_3740г</t>
  </si>
  <si>
    <t>Vt_9430</t>
  </si>
  <si>
    <t>Mr_2401</t>
  </si>
  <si>
    <t>Au_002вз</t>
  </si>
  <si>
    <t>Отказ, смена на меньший типоразмер</t>
  </si>
  <si>
    <t>Vt_17902</t>
  </si>
  <si>
    <t xml:space="preserve">отработка после ГРП </t>
  </si>
  <si>
    <t>Ur_002</t>
  </si>
  <si>
    <t>Au_9701</t>
  </si>
  <si>
    <t>Ki_71603</t>
  </si>
  <si>
    <t>КР12-1</t>
  </si>
  <si>
    <t>КР12-2</t>
  </si>
  <si>
    <t>КР1-1.1</t>
  </si>
  <si>
    <t>Перевод в ППД</t>
  </si>
  <si>
    <t>Vt_8410</t>
  </si>
  <si>
    <t>Перевод в  ППД.</t>
  </si>
  <si>
    <t>Vt_8407</t>
  </si>
  <si>
    <t>Подъем воронки, СПО ПСШ, ЦЗ Ул, проработка колонны до гл.2118м, опрессовка э/к на 80атм. ПВР в инт.2109-2115м двойной плотностью. Спуск пакера на гл. гл.2060м.</t>
  </si>
  <si>
    <t>Au_24403</t>
  </si>
  <si>
    <t>Бригада КГРП ООО "ИНК-ТКРС"</t>
  </si>
  <si>
    <t>Vt_33320г</t>
  </si>
  <si>
    <t>КР-ОС-8</t>
  </si>
  <si>
    <t>Ki_4501</t>
  </si>
  <si>
    <t>Mr_1503</t>
  </si>
  <si>
    <t>КР13-2</t>
  </si>
  <si>
    <t>Da_502</t>
  </si>
  <si>
    <t>18 КРС ООО "ИНК-ТКРС"</t>
  </si>
  <si>
    <t xml:space="preserve">Разбуривание портов, с полным поглощением, после ГРП. ГИС под закачкой на ГНКТ (ОПП). </t>
  </si>
  <si>
    <t>Vt_6309</t>
  </si>
  <si>
    <t>КР-ОС-4</t>
  </si>
  <si>
    <t>Ya_619</t>
  </si>
  <si>
    <t>Vt_5107</t>
  </si>
  <si>
    <t>КР4-1</t>
  </si>
  <si>
    <t>Bt_170</t>
  </si>
  <si>
    <t>ТР5-7</t>
  </si>
  <si>
    <t>Подъем воронки, спуск ЭЦН.</t>
  </si>
  <si>
    <t>Vt_33304</t>
  </si>
  <si>
    <t>Bt_1505</t>
  </si>
  <si>
    <t>Bt_508</t>
  </si>
  <si>
    <t>Vt_056вз</t>
  </si>
  <si>
    <t>Vt_9502</t>
  </si>
  <si>
    <t>6 Андижон ООО "АндижонНГКТваБ"-Русь"</t>
  </si>
  <si>
    <t>КГРП</t>
  </si>
  <si>
    <t>Bt_1501</t>
  </si>
  <si>
    <t>Msh_3707</t>
  </si>
  <si>
    <t>04.12.2025</t>
  </si>
  <si>
    <t>ВЦ по ЗТР</t>
  </si>
  <si>
    <t>КР3-8.6</t>
  </si>
  <si>
    <t>Bt_1503</t>
  </si>
  <si>
    <t>КР7-13</t>
  </si>
  <si>
    <t>Msh_7020г</t>
  </si>
  <si>
    <t>КР6-4</t>
  </si>
  <si>
    <t>Az_8405г</t>
  </si>
  <si>
    <t>КР7-1НТ</t>
  </si>
  <si>
    <t>Vt_4605</t>
  </si>
  <si>
    <t>Vt_17703</t>
  </si>
  <si>
    <t>Vt_17702</t>
  </si>
  <si>
    <t>Vt_8409</t>
  </si>
  <si>
    <t>Vt_094г</t>
  </si>
  <si>
    <t>ТР6-1</t>
  </si>
  <si>
    <t>Mc_1004</t>
  </si>
  <si>
    <t>Ya_212</t>
  </si>
  <si>
    <t>Ya_292</t>
  </si>
  <si>
    <t>7 Андижон ООО "АндижонНГКТваБ"-Русь"</t>
  </si>
  <si>
    <t>Ya_301</t>
  </si>
  <si>
    <t>Смена НКТ 114, наработка 2197 суток</t>
  </si>
  <si>
    <t>Vt_8811</t>
  </si>
  <si>
    <t>Ma_731</t>
  </si>
  <si>
    <t>Vt_5010</t>
  </si>
  <si>
    <t>Ic_405</t>
  </si>
  <si>
    <t>КР13-2НТ</t>
  </si>
  <si>
    <t>НЗ - промывка после СТОП</t>
  </si>
  <si>
    <t>Ya_822</t>
  </si>
  <si>
    <t>Смена НКТ 114, наработка 2284 суток</t>
  </si>
  <si>
    <t>Vt_089г</t>
  </si>
  <si>
    <t>Спуск ЭЦН с автокрана</t>
  </si>
  <si>
    <t>Btw_1608рс</t>
  </si>
  <si>
    <t>Btw_1606рс</t>
  </si>
  <si>
    <t>Btw_1605рс</t>
  </si>
  <si>
    <t>Vt_8405</t>
  </si>
  <si>
    <t>Mc_601</t>
  </si>
  <si>
    <t>Оптимизация</t>
  </si>
  <si>
    <t>Mc_306</t>
  </si>
  <si>
    <t>Au_302</t>
  </si>
  <si>
    <t xml:space="preserve">Освоение после ГРП. </t>
  </si>
  <si>
    <t>отработка ЭЦНом 7 суток</t>
  </si>
  <si>
    <t>Vt_б/н</t>
  </si>
  <si>
    <t>Mc_б/н</t>
  </si>
  <si>
    <t>Ya_б/н</t>
  </si>
  <si>
    <t>Vt_6308</t>
  </si>
  <si>
    <t>Vt_9503</t>
  </si>
  <si>
    <t>ЗР ГРП, спуск ЭЦН, отработка ЭЦНом</t>
  </si>
  <si>
    <t>Vt_8710</t>
  </si>
  <si>
    <t>ГРП (ГПП) готовность к ГРП 10 дней</t>
  </si>
  <si>
    <t>КР10-1</t>
  </si>
  <si>
    <t>Mr_1711</t>
  </si>
  <si>
    <t>ож нкт</t>
  </si>
  <si>
    <t>Подъем ЭЦН, спуск пакера ППД</t>
  </si>
  <si>
    <t>за рамками трех месяцев</t>
  </si>
  <si>
    <t>Ma_711</t>
  </si>
  <si>
    <t>смена компоновки ППД</t>
  </si>
  <si>
    <t>спуск ЭЦН, отработка силами ЦДНГ или ЗОС (требует согласования)</t>
  </si>
  <si>
    <t>Vt_8812</t>
  </si>
  <si>
    <t>Au_510</t>
  </si>
  <si>
    <t>Msh_7001</t>
  </si>
  <si>
    <t>Ya_520</t>
  </si>
  <si>
    <t>Ya_122</t>
  </si>
  <si>
    <t>Vt_17001</t>
  </si>
  <si>
    <t>Ic_б/н</t>
  </si>
  <si>
    <t>Vt_5109</t>
  </si>
  <si>
    <t>Смена ЭЦН на отказной скважине. В случае отсутствия отказа, провести ИДН из перечня ТОП ОПТ.</t>
  </si>
  <si>
    <t>Vt_33305</t>
  </si>
  <si>
    <t>Vt_5005</t>
  </si>
  <si>
    <t>Vt_5502</t>
  </si>
  <si>
    <t>ВНС</t>
  </si>
  <si>
    <t>Ma_065_ma</t>
  </si>
  <si>
    <t xml:space="preserve">восстановление тумбы ликвидированной скважины  </t>
  </si>
  <si>
    <t>Ma_705</t>
  </si>
  <si>
    <t>Прочие ГТМ ППД ГАЗ</t>
  </si>
  <si>
    <t>Ma_4402</t>
  </si>
  <si>
    <t>ВНС с МГРП ГАЗ</t>
  </si>
  <si>
    <t>Ya_812</t>
  </si>
  <si>
    <t>Ya_888</t>
  </si>
  <si>
    <t>Ya_059вз</t>
  </si>
  <si>
    <t>Прочие ГТМ ППД</t>
  </si>
  <si>
    <t>Ya_571</t>
  </si>
  <si>
    <t>Ya_589</t>
  </si>
  <si>
    <t>Спуск ЭЦН после ЗОС/КГРП</t>
  </si>
  <si>
    <t>Извлечение ЭЦН</t>
  </si>
  <si>
    <t>Ki_4707</t>
  </si>
  <si>
    <t>Ya_274</t>
  </si>
  <si>
    <t>Vt_5710</t>
  </si>
  <si>
    <t>Ya_545</t>
  </si>
  <si>
    <t>Az_333</t>
  </si>
  <si>
    <t>Vt_2506</t>
  </si>
  <si>
    <t>Yaw_5001г</t>
  </si>
  <si>
    <t>Ликвидация скважины</t>
  </si>
  <si>
    <t>Yaw_5005рс</t>
  </si>
  <si>
    <t xml:space="preserve">Селективное ОПЗ. Спуск компоновки ОРЗ. </t>
  </si>
  <si>
    <t>КР-ОС-5</t>
  </si>
  <si>
    <t>Ic_903</t>
  </si>
  <si>
    <t>ож подгот</t>
  </si>
  <si>
    <t>Vt_8711</t>
  </si>
  <si>
    <t>Не требуется</t>
  </si>
  <si>
    <t>Ic_924</t>
  </si>
  <si>
    <t>ож гнкт</t>
  </si>
  <si>
    <t>Vt_5401</t>
  </si>
  <si>
    <t>спуск ЭЦН, отработка, по рез-ту испытания консервация скважины</t>
  </si>
  <si>
    <t>Ma_002укпг</t>
  </si>
  <si>
    <t>Ma_204</t>
  </si>
  <si>
    <t>Ic_401</t>
  </si>
  <si>
    <t>Ya_262вз</t>
  </si>
  <si>
    <t>Ya_264вз</t>
  </si>
  <si>
    <t>10.02.2026</t>
  </si>
  <si>
    <t>Au_243</t>
  </si>
  <si>
    <t>ЗР  ГРП, спуск ЭЦН.</t>
  </si>
  <si>
    <t>Ya_180</t>
  </si>
  <si>
    <t>НЗ ОПЗ на отказной скважине</t>
  </si>
  <si>
    <t>спуск ЭЦН</t>
  </si>
  <si>
    <t>Ic_003</t>
  </si>
  <si>
    <t>Msh_3702</t>
  </si>
  <si>
    <t>Mr_1506</t>
  </si>
  <si>
    <t>Подъем пакера ППД, открываем все порты. Спуск 2-х ПО, ОП всех портов и заколонного пакера на гл.3409м. По результатам ОП предусмотреть, открытие портов и ОПЗ по 10м3 12% HCl на порт. Спуск пакера ППД.</t>
  </si>
  <si>
    <t>Vt_4406</t>
  </si>
  <si>
    <t>Ki_8901</t>
  </si>
  <si>
    <t>ЗР ГРП, спуск ЭЦН</t>
  </si>
  <si>
    <t>Ya_494</t>
  </si>
  <si>
    <t>Au_011вз</t>
  </si>
  <si>
    <t>8 Андижон ООО "АндижонНГКТваБ"-Русь"</t>
  </si>
  <si>
    <t>Au_347</t>
  </si>
  <si>
    <t xml:space="preserve">Потеря циркуляции по затрубному пространству. </t>
  </si>
  <si>
    <t>Vt_8809</t>
  </si>
  <si>
    <t>ОПЗ водой 300 м3</t>
  </si>
  <si>
    <t>Vt_5101</t>
  </si>
  <si>
    <t>Mr_1904</t>
  </si>
  <si>
    <t>Mr_1903</t>
  </si>
  <si>
    <t>Ya_826</t>
  </si>
  <si>
    <t>Оптимизация НКТ 89-&gt;114, наработка 2995 суток, освоение ЗОС</t>
  </si>
  <si>
    <t>Ya_408</t>
  </si>
  <si>
    <t>Ya_23002г</t>
  </si>
  <si>
    <t>Au_9601</t>
  </si>
  <si>
    <t>Btw_1603рс</t>
  </si>
  <si>
    <t>КР10-2</t>
  </si>
  <si>
    <t xml:space="preserve">Ревизия пакера, НКТ. Лов.работы (манометры) </t>
  </si>
  <si>
    <t>КР13-3</t>
  </si>
  <si>
    <t>Ki_047г</t>
  </si>
  <si>
    <t>отработка , спуск ЭЦН.</t>
  </si>
  <si>
    <t>Ya_242</t>
  </si>
  <si>
    <t>Смена ЭЦН на отказной скважине + ПСШ, НЗ</t>
  </si>
  <si>
    <t>Vt_8902</t>
  </si>
  <si>
    <t xml:space="preserve">Скважина была заморожена в период низких температур, после пропарки и проведения запуска с обратной промывкой, отсутствие подачи. (непроход Каскад 1062м). </t>
  </si>
  <si>
    <t>НЗ - промывка после СТОП
Ставить только КРС-39 нужна БДТ 50,8 (комбинированная), ТЗ по скважине 5800м. НЗ до МГРП-5 Н=4238м</t>
  </si>
  <si>
    <t>Vt_5704вз</t>
  </si>
  <si>
    <t>Vt_8709</t>
  </si>
  <si>
    <t>Msh_7002</t>
  </si>
  <si>
    <t>Подъем ЭЦН, спуск пакера ППД.</t>
  </si>
  <si>
    <t>Ki_4730г</t>
  </si>
  <si>
    <t>Mc_20414</t>
  </si>
  <si>
    <t>Ic_011вз</t>
  </si>
  <si>
    <t>Ic_001г</t>
  </si>
  <si>
    <t>Ya_199</t>
  </si>
  <si>
    <t>Vt_084г</t>
  </si>
  <si>
    <t>нужна бригада со столом ротора. извлечение ЭЦВ и извлечение ЭК  с аварийным  ЭЦВ+ углубление забой,  для подготовки устья</t>
  </si>
  <si>
    <t xml:space="preserve">спуск ЭЦН после  подготовки устья
</t>
  </si>
  <si>
    <t>ТР8-2</t>
  </si>
  <si>
    <t>Ic_393</t>
  </si>
  <si>
    <t>извлечение ЭЦН</t>
  </si>
  <si>
    <t>Vt_4607</t>
  </si>
  <si>
    <t>Vt_5130г</t>
  </si>
  <si>
    <t>ЦДНГ</t>
  </si>
  <si>
    <t>запад</t>
  </si>
  <si>
    <t>север</t>
  </si>
  <si>
    <t>центр</t>
  </si>
  <si>
    <t>Vt_8803</t>
  </si>
  <si>
    <t>Pol_003г</t>
  </si>
  <si>
    <t>ПР к ГРП Vt; ГРП Vt;</t>
  </si>
  <si>
    <t>Vt_5701г</t>
  </si>
  <si>
    <t>Смена ЭЦН с НЗ</t>
  </si>
  <si>
    <t>Подъем воронки, разбуривание МГРП,   НЗ и ОПЗ, спуск ЭЦН.</t>
  </si>
  <si>
    <t xml:space="preserve"> ЛА, (Отвернули НКТ. Произвели извлечение запыжованного кабеля)
Разбуривание МГРП, ПВР и ОПЗ. </t>
  </si>
  <si>
    <t>КР3-1.7</t>
  </si>
  <si>
    <t>Mc_602</t>
  </si>
  <si>
    <t>Msh_3706</t>
  </si>
  <si>
    <t>Au_9830г</t>
  </si>
  <si>
    <t>монтаж ФА, спуск ЭЦН</t>
  </si>
  <si>
    <t>Au_092</t>
  </si>
  <si>
    <t>Au_369</t>
  </si>
  <si>
    <t>Ya_104</t>
  </si>
  <si>
    <t>Au_447</t>
  </si>
  <si>
    <t>Am_202</t>
  </si>
  <si>
    <t>Bt_1203</t>
  </si>
  <si>
    <t>Скважина</t>
  </si>
  <si>
    <t>Мероприятие</t>
  </si>
  <si>
    <t>Результаты по дебиту</t>
  </si>
  <si>
    <t>Дата (план)</t>
  </si>
  <si>
    <t>Исполнитель</t>
  </si>
  <si>
    <t>Дата (факт)</t>
  </si>
  <si>
    <t>Документы</t>
  </si>
  <si>
    <t>Статусы</t>
  </si>
  <si>
    <t>Затраты</t>
  </si>
  <si>
    <t>Режим</t>
  </si>
  <si>
    <t>На начало ремонта (зам.)</t>
  </si>
  <si>
    <t>Ожидаемые</t>
  </si>
  <si>
    <t>Инвентарный номер</t>
  </si>
  <si>
    <t>Номер</t>
  </si>
  <si>
    <t>Месторождение</t>
  </si>
  <si>
    <t>НГДУ</t>
  </si>
  <si>
    <t>Участок недр</t>
  </si>
  <si>
    <t>Цех</t>
  </si>
  <si>
    <t>Состояние по фонду</t>
  </si>
  <si>
    <t>Способ эксплуатации до ремонта</t>
  </si>
  <si>
    <t>Площадь</t>
  </si>
  <si>
    <t>ЦИТС</t>
  </si>
  <si>
    <t>Недропользователь</t>
  </si>
  <si>
    <t>Подрядчик</t>
  </si>
  <si>
    <t>Тип мероприятия</t>
  </si>
  <si>
    <t>Код мероприятия</t>
  </si>
  <si>
    <t>Примечания</t>
  </si>
  <si>
    <t>Способ эксплуатации после ремонта</t>
  </si>
  <si>
    <t>Сущ. категория</t>
  </si>
  <si>
    <t>Вид затрат</t>
  </si>
  <si>
    <t>Направление</t>
  </si>
  <si>
    <t>Начало мероприятия</t>
  </si>
  <si>
    <t>Конец мероприятия</t>
  </si>
  <si>
    <t>Дата запуска по фонду</t>
  </si>
  <si>
    <t xml:space="preserve">Календарное время по ремонту (ч) </t>
  </si>
  <si>
    <t xml:space="preserve">Отработанное время по ремонту (ч) </t>
  </si>
  <si>
    <t>Нормативное время по ремонту (ч)</t>
  </si>
  <si>
    <t>Простои</t>
  </si>
  <si>
    <t xml:space="preserve">Производительное время по ремонту (ч) </t>
  </si>
  <si>
    <t>План работ/Наряд-заказ</t>
  </si>
  <si>
    <t>Дизайн</t>
  </si>
  <si>
    <t>Протокол</t>
  </si>
  <si>
    <t>Акт</t>
  </si>
  <si>
    <t>Наряд-заказ</t>
  </si>
  <si>
    <t>План работ</t>
  </si>
  <si>
    <t>Месяц подписания</t>
  </si>
  <si>
    <t>Системный номер</t>
  </si>
  <si>
    <t>Ремонт (руб.)</t>
  </si>
  <si>
    <t>Итого затрат (руб.)</t>
  </si>
  <si>
    <t>Qн</t>
  </si>
  <si>
    <t>Qж</t>
  </si>
  <si>
    <t>%H2O</t>
  </si>
  <si>
    <t>Приемистость</t>
  </si>
  <si>
    <t>Ma_001г</t>
  </si>
  <si>
    <t>001г</t>
  </si>
  <si>
    <t>Марковское</t>
  </si>
  <si>
    <t>Иркутская нефтяная компания</t>
  </si>
  <si>
    <t>ЦДНГ-1</t>
  </si>
  <si>
    <t>ЭЦН</t>
  </si>
  <si>
    <t>ООО  "ИНК"</t>
  </si>
  <si>
    <t>ООО "ИНК-ТКРС"</t>
  </si>
  <si>
    <t>КР</t>
  </si>
  <si>
    <t>Консервация скважины</t>
  </si>
  <si>
    <t>вдз</t>
  </si>
  <si>
    <t>True</t>
  </si>
  <si>
    <t>False</t>
  </si>
  <si>
    <t>Макет</t>
  </si>
  <si>
    <t>нет актов</t>
  </si>
  <si>
    <t>декабрь</t>
  </si>
  <si>
    <t>002укпг</t>
  </si>
  <si>
    <t>Подъём ЭЦВ, Подъём ЭК, Проработка, Спуск ЭК, Спукс ЭЦВ</t>
  </si>
  <si>
    <t>Mc_005A</t>
  </si>
  <si>
    <t>005A</t>
  </si>
  <si>
    <t>Маччобинское</t>
  </si>
  <si>
    <t>ООО  "Саханефть"</t>
  </si>
  <si>
    <t>Звено подготовки скважин (МаччНГКМ)</t>
  </si>
  <si>
    <t>ТР</t>
  </si>
  <si>
    <t>ТР00-6</t>
  </si>
  <si>
    <t>Раскладка кабельной продукции на БУОС-2</t>
  </si>
  <si>
    <t>27</t>
  </si>
  <si>
    <t>КП-4 МаччНГКМ укладка кабельной продукции</t>
  </si>
  <si>
    <t>Закрыт</t>
  </si>
  <si>
    <t>февраль</t>
  </si>
  <si>
    <t>ТР00-9</t>
  </si>
  <si>
    <t>Усиление КРС 37 на переезде на скв 20414 КП 8 МаччНГКМ</t>
  </si>
  <si>
    <t>ТР00-5</t>
  </si>
  <si>
    <t>сборка  ВВЛ на скв 20402</t>
  </si>
  <si>
    <t>Работа на БУОС1 по монтажу обратного клапана.</t>
  </si>
  <si>
    <t>Работа на БУОС-2, ОПЗ на КДМНУ-2</t>
  </si>
  <si>
    <t>Работы по погрузке и вывозу оборудования и хим. реагентов с КП 6 МаччНГКМ(после ремонта КРС 16).</t>
  </si>
  <si>
    <t>37</t>
  </si>
  <si>
    <t xml:space="preserve">Работы на БУОС-2 по монтажу печи. </t>
  </si>
  <si>
    <t>ТР12-1</t>
  </si>
  <si>
    <t xml:space="preserve">БУОС-1 МачНГКМ кислотная обработка. </t>
  </si>
  <si>
    <t xml:space="preserve">Работы на ЦДТ УВС по прокладке кабеля на КП19 МирнЛУ. </t>
  </si>
  <si>
    <t>Размотку кабельной продукции для запуска скв.1515.  Расчистка площадки обслуживания СУ от снега на КП-15, 17 МаччНГКМ</t>
  </si>
  <si>
    <t>Усиление КРС-16. Погрузка и разгрузка ОКРС.</t>
  </si>
  <si>
    <t>Работы на КП3 МаччНГКМ по утеплению КДМНУ</t>
  </si>
  <si>
    <t>ТР00-3</t>
  </si>
  <si>
    <t xml:space="preserve">Работа на КП-51 МаччНГКМ ЦДТ УВС по приготовлению раствора  для гидроиспытаний.
</t>
  </si>
  <si>
    <t>Bt_20кпг</t>
  </si>
  <si>
    <t>020кпг</t>
  </si>
  <si>
    <t>20</t>
  </si>
  <si>
    <t>Большетирский</t>
  </si>
  <si>
    <t>Большетирский лицензионный участок</t>
  </si>
  <si>
    <t>ЦДНГ-2</t>
  </si>
  <si>
    <t>Освоение прошлых лет</t>
  </si>
  <si>
    <t>пр.</t>
  </si>
  <si>
    <t>АО «ИНК-Запад»</t>
  </si>
  <si>
    <t>Подъём воронки, ОТЗ, НЗ, Спуск ЭЦН</t>
  </si>
  <si>
    <t>Утвержден</t>
  </si>
  <si>
    <t>Ma_025р</t>
  </si>
  <si>
    <t>025Р</t>
  </si>
  <si>
    <t>Звено освоения №3</t>
  </si>
  <si>
    <t>Восстановление устья. Шаблонировка ОК-146 с разбуриванием ЦМ. ГИС. ПВР. Спуск пакера ГРП. Отработка скважины после ГРП (при необходимости НЗ). Ликвидация/консервация скважины (по доп. НЗ и ПР).</t>
  </si>
  <si>
    <t>Ma_040г</t>
  </si>
  <si>
    <t>040г</t>
  </si>
  <si>
    <t>047г</t>
  </si>
  <si>
    <t>Кийский</t>
  </si>
  <si>
    <t>24</t>
  </si>
  <si>
    <t>Подъём ЭЦВ, Извлечение аварийного оборуд, Подъём ЭК, Добуривание до 250м, Спуск ЭК,</t>
  </si>
  <si>
    <t>Готов</t>
  </si>
  <si>
    <t>Vt_081вз</t>
  </si>
  <si>
    <t>081вз</t>
  </si>
  <si>
    <t>81</t>
  </si>
  <si>
    <t>Верхнетирский</t>
  </si>
  <si>
    <t>Участок Большетирского месторождения Vt LU</t>
  </si>
  <si>
    <t>Ожидание освоения прошлых лет</t>
  </si>
  <si>
    <t>ООО «ИНК»</t>
  </si>
  <si>
    <t>Звено глушения №2</t>
  </si>
  <si>
    <t xml:space="preserve">Работы на КДМНУ-81-3 Монтаж УЭЦН </t>
  </si>
  <si>
    <t>089г</t>
  </si>
  <si>
    <t>34</t>
  </si>
  <si>
    <t>ОТЗ, НЗ, Шаблонировка, Замер приемистости, ОПЗ по результату, Спуск ЭЦН</t>
  </si>
  <si>
    <t>несколько актов</t>
  </si>
  <si>
    <t>Mc_010</t>
  </si>
  <si>
    <t>10</t>
  </si>
  <si>
    <t>Мирнинский ЛУ</t>
  </si>
  <si>
    <t>УДНГ</t>
  </si>
  <si>
    <t>В работе</t>
  </si>
  <si>
    <t>ООО "Саханефть"</t>
  </si>
  <si>
    <t>ТР.ПНП1-4</t>
  </si>
  <si>
    <t>проведение двухэтапной обработки</t>
  </si>
  <si>
    <t>неф</t>
  </si>
  <si>
    <t xml:space="preserve">Проведение 2-х этапного ОПЗ </t>
  </si>
  <si>
    <t>Mc_1001</t>
  </si>
  <si>
    <t>1001</t>
  </si>
  <si>
    <t>Глушение, смена УЭЦН (оптимизация)</t>
  </si>
  <si>
    <t>1004</t>
  </si>
  <si>
    <t>7</t>
  </si>
  <si>
    <t>ОПЗ на Скв 1004. КП10 МаччНГКМ</t>
  </si>
  <si>
    <t>Проведение ОПЗ, ГКР 12%</t>
  </si>
  <si>
    <t>104</t>
  </si>
  <si>
    <t>3</t>
  </si>
  <si>
    <t>Ярактинское</t>
  </si>
  <si>
    <t>Ярактинское месторождение</t>
  </si>
  <si>
    <t>ООО "Андижон"</t>
  </si>
  <si>
    <t>4</t>
  </si>
  <si>
    <t>Смена УЭЦН</t>
  </si>
  <si>
    <t>Au_10501г</t>
  </si>
  <si>
    <t>10501г</t>
  </si>
  <si>
    <t>Аянский участок</t>
  </si>
  <si>
    <t>ООО  "ИНК-НефтеГазГеология"</t>
  </si>
  <si>
    <t>6</t>
  </si>
  <si>
    <t>Смена ЭЦВ</t>
  </si>
  <si>
    <t>Vt_1051вз</t>
  </si>
  <si>
    <t>1051вз</t>
  </si>
  <si>
    <t>5</t>
  </si>
  <si>
    <t>КЗИ, смена ЭЦН</t>
  </si>
  <si>
    <t>Ревизия КВВД, по рез-ту смена УЭЦН</t>
  </si>
  <si>
    <t>Ya_118</t>
  </si>
  <si>
    <t>118</t>
  </si>
  <si>
    <t>18</t>
  </si>
  <si>
    <t>ТР13-2</t>
  </si>
  <si>
    <t>Смена ЗМС №2 и №4</t>
  </si>
  <si>
    <t>1203</t>
  </si>
  <si>
    <t>12</t>
  </si>
  <si>
    <t>ФОН</t>
  </si>
  <si>
    <t>Отработка скважины. Замер дебита. ГДИ.</t>
  </si>
  <si>
    <t>122</t>
  </si>
  <si>
    <t>Остановлена</t>
  </si>
  <si>
    <t>Подъем ЭЦН, ОТЗ,НЗ, ПВР ,спуск пакера ГРП.</t>
  </si>
  <si>
    <t>Ya_125</t>
  </si>
  <si>
    <t>125</t>
  </si>
  <si>
    <t>9</t>
  </si>
  <si>
    <t>Ma_012г</t>
  </si>
  <si>
    <t>12г</t>
  </si>
  <si>
    <t>Консервация скв</t>
  </si>
  <si>
    <t>Ya_139</t>
  </si>
  <si>
    <t>139</t>
  </si>
  <si>
    <t>21</t>
  </si>
  <si>
    <t>ООО "ИНК-Сервис"</t>
  </si>
  <si>
    <t>Звено №1 ЛМКД</t>
  </si>
  <si>
    <t>КР1-4</t>
  </si>
  <si>
    <t>Опрессовка МПУ, МКП</t>
  </si>
  <si>
    <t>1501</t>
  </si>
  <si>
    <t>15</t>
  </si>
  <si>
    <t>В бездействии текущего года</t>
  </si>
  <si>
    <t>Глушение, подъём воронки, по рез-ту СПО ПСШ, спуск УЭЦН</t>
  </si>
  <si>
    <t>М/ж ВВЛ L-200м для КРС-5</t>
  </si>
  <si>
    <t>Глушение. Подъем воронки. Разбуривание МГРП с НЗ до ТЗ. ОПЗ. Спуск ЭЦН.</t>
  </si>
  <si>
    <t>1503</t>
  </si>
  <si>
    <t>1504</t>
  </si>
  <si>
    <t>Отработка скважины после ГРП. Замер дебита. ГДИ.</t>
  </si>
  <si>
    <t>Звено подготовки скважин</t>
  </si>
  <si>
    <t>М-ж ВВЛ</t>
  </si>
  <si>
    <t>1506</t>
  </si>
  <si>
    <t>наг</t>
  </si>
  <si>
    <t>Mr_1511</t>
  </si>
  <si>
    <t>1511</t>
  </si>
  <si>
    <t>26</t>
  </si>
  <si>
    <t xml:space="preserve">СПО ПСШ, закрыть порты ГРП №1-5, открыть порт ГРП №6. Прокачка 120 м3 воды со скв. 1506 в порт ГРП №6, ОП. Спуск пакера ППД. </t>
  </si>
  <si>
    <t>1606РС</t>
  </si>
  <si>
    <t>16</t>
  </si>
  <si>
    <t>Вне месторождений</t>
  </si>
  <si>
    <t>Ожидание освоения текущего года</t>
  </si>
  <si>
    <t>ООО «ИXK»</t>
  </si>
  <si>
    <t>Подъем ЭЦН, НЗ, спуск ЭЦН</t>
  </si>
  <si>
    <t>вдд (расс)</t>
  </si>
  <si>
    <t>Bt_168</t>
  </si>
  <si>
    <t>168</t>
  </si>
  <si>
    <t>Звено №2 ЛМКД</t>
  </si>
  <si>
    <t>Опрессовка МКП,МПУ</t>
  </si>
  <si>
    <t>Ma_016ВЗ</t>
  </si>
  <si>
    <t>16ВЗ</t>
  </si>
  <si>
    <t>Марковское месторождение</t>
  </si>
  <si>
    <t>В ожидании ликвидации</t>
  </si>
  <si>
    <t>170</t>
  </si>
  <si>
    <t>11</t>
  </si>
  <si>
    <t>Глушение скважины. Подъем НКТ с датчиком УЗД. Спуск ЭЦН.</t>
  </si>
  <si>
    <t>ТР00-8</t>
  </si>
  <si>
    <t xml:space="preserve">Опережающее глушение </t>
  </si>
  <si>
    <t>Bt_171</t>
  </si>
  <si>
    <t>171</t>
  </si>
  <si>
    <t>В бездействии прошлых лет</t>
  </si>
  <si>
    <t>Глушение, ревизия КВВД</t>
  </si>
  <si>
    <t>перевод скважины с раствора у-1,55 на раствор у-1,28</t>
  </si>
  <si>
    <t xml:space="preserve">Фрезирование задвижки АФК ЗМС №5, замена ЗМС №5. </t>
  </si>
  <si>
    <t>1711</t>
  </si>
  <si>
    <t>17</t>
  </si>
  <si>
    <t xml:space="preserve">ВЦ </t>
  </si>
  <si>
    <t>Bt_174</t>
  </si>
  <si>
    <t>174</t>
  </si>
  <si>
    <t>Глушение скважины. Подъем воронки на НКТ-73. Спуск ЭЦН.</t>
  </si>
  <si>
    <t>Звено глушения</t>
  </si>
  <si>
    <t xml:space="preserve">Перевод скв. с р-1,60 г/см3 на р-1,28 г/см3. </t>
  </si>
  <si>
    <t>Bt_177вз</t>
  </si>
  <si>
    <t>177вз</t>
  </si>
  <si>
    <t>35</t>
  </si>
  <si>
    <t>монтаж ЭЦН в КДМНУ 11-2 ВУС</t>
  </si>
  <si>
    <t>М\ж КВ, АФК и обвязки устья на КДМНУ-2 КП 11</t>
  </si>
  <si>
    <t>Vt_17901</t>
  </si>
  <si>
    <t>17901</t>
  </si>
  <si>
    <t>179</t>
  </si>
  <si>
    <t>Освоение текущего года</t>
  </si>
  <si>
    <t>Бригада КГРП</t>
  </si>
  <si>
    <t>ОПЗ при КГРП</t>
  </si>
  <si>
    <t>17902</t>
  </si>
  <si>
    <t>Верхнетирский лицензионный участок</t>
  </si>
  <si>
    <t>Отработка, замер дебита, ГДИ, глушение, подъем УГРП, спуск УЭЦН.</t>
  </si>
  <si>
    <t>Активация портов ГРП + ОПЗ СКО.</t>
  </si>
  <si>
    <t>180</t>
  </si>
  <si>
    <t>Глушение, подъем УЭЦН, ОТЗ, НЗ, ГДК+ОПЗ, спуск УЭЦН.</t>
  </si>
  <si>
    <t>Глушение, смена УЭЦН</t>
  </si>
  <si>
    <t>1911</t>
  </si>
  <si>
    <t>19</t>
  </si>
  <si>
    <t>Перевод в ППД. СПО ПСШ, спуск пакера ППД, определение приемистости.</t>
  </si>
  <si>
    <t>199</t>
  </si>
  <si>
    <t>32</t>
  </si>
  <si>
    <t>ЛМКД</t>
  </si>
  <si>
    <t>8</t>
  </si>
  <si>
    <t>Юраченский участок</t>
  </si>
  <si>
    <t>Юраченский ЛУ</t>
  </si>
  <si>
    <t>АО «ИНК-Красноярск»</t>
  </si>
  <si>
    <t>Звено подготовки скважин №3</t>
  </si>
  <si>
    <t xml:space="preserve">Гидроизоляция амбара. </t>
  </si>
  <si>
    <t>Отработка скважины. Замер дебита. ГДИ. Глушение. Консервация сквжаины (по отдельному НЗ и ПР).</t>
  </si>
  <si>
    <t>202</t>
  </si>
  <si>
    <t>Западно-Аянское</t>
  </si>
  <si>
    <t>Аянская площадь ЛУ AM LU</t>
  </si>
  <si>
    <t>ООО «ИНК-НефтеГазГеология»</t>
  </si>
  <si>
    <t>ВЦ в НКТ</t>
  </si>
  <si>
    <t>20414</t>
  </si>
  <si>
    <t xml:space="preserve">Проведение СКО </t>
  </si>
  <si>
    <t>Глушение, подъём УЭЦН (по рез-ту подрыва ПШ согласовать необходимость ПСШ), спуск УЭЦН</t>
  </si>
  <si>
    <t>Au_206</t>
  </si>
  <si>
    <t>206</t>
  </si>
  <si>
    <t>Аянский ЛУ AU LU</t>
  </si>
  <si>
    <t>Подъем УЭЦН, ОТЗ, НЗ, ОПЗ СКО+ИСО, Спуск УЭЦН.</t>
  </si>
  <si>
    <t>208</t>
  </si>
  <si>
    <t>56</t>
  </si>
  <si>
    <t>Глушение скважины, подьём пакера ГРП, разбуривание цем.моста и пакер пробки на гл. 3105-3200м. НЗ, спуск ЭЦН.</t>
  </si>
  <si>
    <t>Ya_234</t>
  </si>
  <si>
    <t>234</t>
  </si>
  <si>
    <t>Глушение, КЗИ под ПШ, смена УЭЦН</t>
  </si>
  <si>
    <t>КЗИ Смена УЭЦН</t>
  </si>
  <si>
    <t>2401</t>
  </si>
  <si>
    <t>Нелбинское</t>
  </si>
  <si>
    <t>В консервации</t>
  </si>
  <si>
    <t>Разбур. цем. моста, ГДК, ОПЗ СКО, спуск УЭЦН, отработка, ГДИ, оценка дебита, глушение, подъем УЭЦН, консервация.</t>
  </si>
  <si>
    <t>242</t>
  </si>
  <si>
    <t>Глушение, подъём УЭЦН, ОТЗ, шаблонирование ЭК, спуск УЭЦН</t>
  </si>
  <si>
    <t>243</t>
  </si>
  <si>
    <t>Au_24401</t>
  </si>
  <si>
    <t>24401</t>
  </si>
  <si>
    <t>244</t>
  </si>
  <si>
    <t>31</t>
  </si>
  <si>
    <t>Глушение, подъем воронки, спуск УЭЦН.</t>
  </si>
  <si>
    <t>газ</t>
  </si>
  <si>
    <t>24402</t>
  </si>
  <si>
    <t>Определение приемистости, активация порта №3, определение приемистости.</t>
  </si>
  <si>
    <t>39</t>
  </si>
  <si>
    <t>Шаблонирование хвостовика, определение приемистости, ПВР + ОПЗ СКО, определение приемистости.</t>
  </si>
  <si>
    <t>Vt_2503</t>
  </si>
  <si>
    <t>2503</t>
  </si>
  <si>
    <t>25</t>
  </si>
  <si>
    <t xml:space="preserve">Глушение, подьём ЭЦН, ОТЗ до верхнего порта ДТФ 95мм, ОПЗ СКО, спуск ЭЦН. </t>
  </si>
  <si>
    <t xml:space="preserve">Опережающее глушение скважины для КРС-31 </t>
  </si>
  <si>
    <t>Vt_2505</t>
  </si>
  <si>
    <t>2505</t>
  </si>
  <si>
    <t>глушение, смена ЗМС</t>
  </si>
  <si>
    <t>Ya_259</t>
  </si>
  <si>
    <t>259</t>
  </si>
  <si>
    <t>22</t>
  </si>
  <si>
    <t xml:space="preserve">РИР МКД </t>
  </si>
  <si>
    <t>Ma_025-ma</t>
  </si>
  <si>
    <t>25ma</t>
  </si>
  <si>
    <t>0Р</t>
  </si>
  <si>
    <t>28</t>
  </si>
  <si>
    <t>292</t>
  </si>
  <si>
    <t>ПД УЭЦН, ОТЗ, НЗ, ОПЗ по согласованию с ГОП, СП УЭЦН.</t>
  </si>
  <si>
    <t>Ya_297</t>
  </si>
  <si>
    <t>297</t>
  </si>
  <si>
    <t xml:space="preserve">Глушение, смена УЭЦН на больший типоразмер </t>
  </si>
  <si>
    <t>Ичединское</t>
  </si>
  <si>
    <t>Западно-Ярактинский лицензионный участок</t>
  </si>
  <si>
    <t>3-Г</t>
  </si>
  <si>
    <t>Половиннинский участок</t>
  </si>
  <si>
    <t>Подъём ЭЦВ, ОТЗ, НЗ (ГПШ), Спуск ЭЦВ</t>
  </si>
  <si>
    <t>302</t>
  </si>
  <si>
    <t>94</t>
  </si>
  <si>
    <t>Mc_303</t>
  </si>
  <si>
    <t>303</t>
  </si>
  <si>
    <t>306</t>
  </si>
  <si>
    <t>Извлечение аварийного пакера, спуск ЭЦН</t>
  </si>
  <si>
    <t>Mc_307</t>
  </si>
  <si>
    <t>307</t>
  </si>
  <si>
    <t>Проведение 2-х этапной ОПЗ</t>
  </si>
  <si>
    <t>Ya_329</t>
  </si>
  <si>
    <t>329</t>
  </si>
  <si>
    <t>При подъем 2-х НКТ КЗИ, Подьем УЭЦН, Смена УЭЦН, Спуск УЭЦН.</t>
  </si>
  <si>
    <t>Опережающее глушение скважины для Андижон-5.</t>
  </si>
  <si>
    <t>Vt_3305</t>
  </si>
  <si>
    <t>3305</t>
  </si>
  <si>
    <t>33</t>
  </si>
  <si>
    <t>Глушение скважины для КРС-33</t>
  </si>
  <si>
    <t>ТР5-8</t>
  </si>
  <si>
    <t>Глушение, подъём УЭЦН до зеркала жидкости, по рез-ту смена УЭЦН и НКТ</t>
  </si>
  <si>
    <t>Vt_3310</t>
  </si>
  <si>
    <t>3310</t>
  </si>
  <si>
    <t>Vt_3323</t>
  </si>
  <si>
    <t>3323</t>
  </si>
  <si>
    <t xml:space="preserve">Извлечение АО, спуск ЭЦН. </t>
  </si>
  <si>
    <t>Глушение, осторожный подрыв ПШ, КЗИ. Смена УЭЦН</t>
  </si>
  <si>
    <t>333</t>
  </si>
  <si>
    <t>82</t>
  </si>
  <si>
    <t>Аянский (Западный)</t>
  </si>
  <si>
    <t>Аянский-Западный ЛУ AZ LU</t>
  </si>
  <si>
    <t>Ревизия КВ. КЗИ. Смена УЭЦН</t>
  </si>
  <si>
    <t>33304</t>
  </si>
  <si>
    <t>30</t>
  </si>
  <si>
    <t>Глушение, подъем УЭЦН, скреперование, спуск и посадка пакера.</t>
  </si>
  <si>
    <t>Vt_33307</t>
  </si>
  <si>
    <t>33307</t>
  </si>
  <si>
    <t>Глушение. Подъем УЭЦН. Спуск КНК. Разбуривание МГРП 1. ОПЗ. Подъем КНК. Спуск УЭЦН.</t>
  </si>
  <si>
    <t>Vt_33309</t>
  </si>
  <si>
    <t>33309</t>
  </si>
  <si>
    <t>Допуск УГРП, определение приемистости/циркуляции, подъем УГРП, лов. работы, спуск УГРП, активация гидромех. пакеров.</t>
  </si>
  <si>
    <t>Vt_33310г</t>
  </si>
  <si>
    <t>33310г</t>
  </si>
  <si>
    <t>Монтаж АФК, ОТЗ, НЗ, Шаблонировка, Замер приемистости, ОПЗ по результату, Спуск ЭЦН</t>
  </si>
  <si>
    <t>Подъём ЭЦВ, подготовка устья</t>
  </si>
  <si>
    <t>347</t>
  </si>
  <si>
    <t>100</t>
  </si>
  <si>
    <t xml:space="preserve">Востановление циркуляции по затрубному пространству. </t>
  </si>
  <si>
    <t>Ya_352</t>
  </si>
  <si>
    <t>352</t>
  </si>
  <si>
    <t>36</t>
  </si>
  <si>
    <t>Глушение скважины. Замена ЗМС №2.</t>
  </si>
  <si>
    <t>Au_357</t>
  </si>
  <si>
    <t>357</t>
  </si>
  <si>
    <t>96</t>
  </si>
  <si>
    <t>Ic_360</t>
  </si>
  <si>
    <t>360</t>
  </si>
  <si>
    <t>Ic_365</t>
  </si>
  <si>
    <t>365</t>
  </si>
  <si>
    <t>Опрессовка МКП</t>
  </si>
  <si>
    <t>Ya_366</t>
  </si>
  <si>
    <t>366</t>
  </si>
  <si>
    <t>48</t>
  </si>
  <si>
    <t>Звено азот №2</t>
  </si>
  <si>
    <t>КР7-16</t>
  </si>
  <si>
    <t>Компрессирование с ЦДНГ-1</t>
  </si>
  <si>
    <t>3702</t>
  </si>
  <si>
    <t>им. Н.В.Мышевского</t>
  </si>
  <si>
    <t>Кийский ЛУ</t>
  </si>
  <si>
    <t>3703</t>
  </si>
  <si>
    <t>Компрессирование в затруб (при необходимости по согласованию с ЦДНГ в НКТ)</t>
  </si>
  <si>
    <t>Компрессирование скважины с ЦДНГ</t>
  </si>
  <si>
    <t xml:space="preserve">Компрессирование с ЦДНГ </t>
  </si>
  <si>
    <t>3706</t>
  </si>
  <si>
    <t>Глушение, подъем УГРП, скреперования ЭК, посадка пакера ППД.</t>
  </si>
  <si>
    <t>3707</t>
  </si>
  <si>
    <t>Глушение. подъем УЭЦН, скеперование, спуск и посадка пакера ППД.</t>
  </si>
  <si>
    <t>Msh_3708</t>
  </si>
  <si>
    <t>3708</t>
  </si>
  <si>
    <t>Подъем УГРП, нормализация забоя, спуск УЭЦН.</t>
  </si>
  <si>
    <t>Msh_372г</t>
  </si>
  <si>
    <t>372г</t>
  </si>
  <si>
    <t xml:space="preserve">МЖ УЭЦН КДМНУ-3 </t>
  </si>
  <si>
    <t>МЖ УЭЦН КДМНУ-2</t>
  </si>
  <si>
    <t>МЖ УЭЦН КДМНУ-1</t>
  </si>
  <si>
    <t>3740г</t>
  </si>
  <si>
    <t>ПД УЭЦН СП воронки</t>
  </si>
  <si>
    <t>Au_387</t>
  </si>
  <si>
    <t>387</t>
  </si>
  <si>
    <t>95</t>
  </si>
  <si>
    <t xml:space="preserve">Востановление циркуляции в НКТ </t>
  </si>
  <si>
    <t>401</t>
  </si>
  <si>
    <t>КР13-2НТ А</t>
  </si>
  <si>
    <t>Выполнить извлечение аварийного оборудования КАСКАД с помощью ГНКТ.</t>
  </si>
  <si>
    <t>405</t>
  </si>
  <si>
    <t>Смена ЭЦН</t>
  </si>
  <si>
    <t>408</t>
  </si>
  <si>
    <t>55</t>
  </si>
  <si>
    <t>Ic_041</t>
  </si>
  <si>
    <t>41</t>
  </si>
  <si>
    <t xml:space="preserve">Глушение, смена УЭЦН 
</t>
  </si>
  <si>
    <t>4401</t>
  </si>
  <si>
    <t>44</t>
  </si>
  <si>
    <t>Потаповская площадь</t>
  </si>
  <si>
    <t xml:space="preserve">Усиление ЗОС-1 по приготовлению раствора. </t>
  </si>
  <si>
    <t>4406</t>
  </si>
  <si>
    <t>Опрежающее глушение скв. для КРС-31</t>
  </si>
  <si>
    <t>Vt_4407</t>
  </si>
  <si>
    <t>4407</t>
  </si>
  <si>
    <t>ВЦ в затрубном пространстве</t>
  </si>
  <si>
    <t>январь</t>
  </si>
  <si>
    <t>447</t>
  </si>
  <si>
    <t>91</t>
  </si>
  <si>
    <t>Глушение Смена ЗКЛ ФА №2</t>
  </si>
  <si>
    <t>4501</t>
  </si>
  <si>
    <t>45</t>
  </si>
  <si>
    <t>Глушение скважины. Подъем УГРП. Разбуривание МГРП. Установка пакер-пробки. Спуск ЭЦН.</t>
  </si>
  <si>
    <t xml:space="preserve">Освоение с кважины с ЭЦН, отбор проб, ГДИ. </t>
  </si>
  <si>
    <t>4607</t>
  </si>
  <si>
    <t>46</t>
  </si>
  <si>
    <t>для протокола</t>
  </si>
  <si>
    <t>Глушение. Подъем ЭЦН. Нормализация забоя. ПВР/ОПЗ. Спуск ЭЦН.</t>
  </si>
  <si>
    <t>4608</t>
  </si>
  <si>
    <t>Глушение, подьём ЭЦН, разбуривание МГРП и башмака хвостовика, ПВР, спуск УЭЦН, отработка.</t>
  </si>
  <si>
    <t>4706</t>
  </si>
  <si>
    <t>47</t>
  </si>
  <si>
    <t>Промывка от проппанта после "Стоп"</t>
  </si>
  <si>
    <t>Msh_4720Г</t>
  </si>
  <si>
    <t>4720Г</t>
  </si>
  <si>
    <t>Ликвидация аварии, Промывка забоя, ГИС, Спуск ЭК 245, ОПЗ (ГКО 10м3), Спуск ЭЦВ, Отработка</t>
  </si>
  <si>
    <t>4730г</t>
  </si>
  <si>
    <t>Приподъём ЭЦН</t>
  </si>
  <si>
    <t>494</t>
  </si>
  <si>
    <t>65</t>
  </si>
  <si>
    <t>Глушение, подъем УЭЦН, НЗ, спуск УЭЦН.</t>
  </si>
  <si>
    <t>Смена УЭЦН ОТЗ по результату НЗ</t>
  </si>
  <si>
    <t>ВЦ в затрубном пр-ве</t>
  </si>
  <si>
    <t>апрель</t>
  </si>
  <si>
    <t>Ma_004ВЗ</t>
  </si>
  <si>
    <t>4ВЗ</t>
  </si>
  <si>
    <t>50-Г</t>
  </si>
  <si>
    <t>50</t>
  </si>
  <si>
    <t>Работы на КДМНУ 50-3 демонтаж УЭЦН, монтаж УЭЦН.</t>
  </si>
  <si>
    <t>смена ЭЦН в КДМНУ 50-3</t>
  </si>
  <si>
    <t>Vt_5001вз</t>
  </si>
  <si>
    <t>5001вз</t>
  </si>
  <si>
    <t>23</t>
  </si>
  <si>
    <t>5005</t>
  </si>
  <si>
    <t>глушение, КЗИ, смена ЭЦН</t>
  </si>
  <si>
    <t>Vt_5007</t>
  </si>
  <si>
    <t>5007</t>
  </si>
  <si>
    <t>502</t>
  </si>
  <si>
    <t>Даниловское</t>
  </si>
  <si>
    <t>Даниловское месторождение</t>
  </si>
  <si>
    <t>ЦДНГ-3</t>
  </si>
  <si>
    <t>Подъем ЭЦН, СПО ПСШ, спуск ЭЦН</t>
  </si>
  <si>
    <t>Глушение, КЗИ, смена ЭЦН</t>
  </si>
  <si>
    <t>Da_506</t>
  </si>
  <si>
    <t>506</t>
  </si>
  <si>
    <t>14</t>
  </si>
  <si>
    <t>Подъем ЭЦН, СПО ПСШ, спуск пакера в хвостовик 114, ОПЗ с ВНЭ, подъем пакера, спуск ЭЦН</t>
  </si>
  <si>
    <t>510</t>
  </si>
  <si>
    <t>105</t>
  </si>
  <si>
    <t>Смена УЭЦН.</t>
  </si>
  <si>
    <t>5101</t>
  </si>
  <si>
    <t>51</t>
  </si>
  <si>
    <t>13</t>
  </si>
  <si>
    <t>Глушение, КЗИ, Cмена ЭЦН</t>
  </si>
  <si>
    <t xml:space="preserve">Монтаж линии ВВЛ. Глушение скважины для КРС-13. </t>
  </si>
  <si>
    <t>Vt_5104</t>
  </si>
  <si>
    <t>5104</t>
  </si>
  <si>
    <t>Глушение, подъем УЭЦН, по результату подъема ОПЗ, ПВР, спуск УЭЦН.</t>
  </si>
  <si>
    <t>5105</t>
  </si>
  <si>
    <t>КР13-1.3</t>
  </si>
  <si>
    <t xml:space="preserve">ВЦ в НКТ </t>
  </si>
  <si>
    <t>5107</t>
  </si>
  <si>
    <t>Глушение, извлечение аварийного ГНО, смена ЭЦН</t>
  </si>
  <si>
    <t>5109</t>
  </si>
  <si>
    <t xml:space="preserve">Глушение, подьём ЭЦН, разбуривание муфт ГРП, ОПЗ и ПВР по результату НЗ, спуск ЭЦН. </t>
  </si>
  <si>
    <t>Для протокола отказа</t>
  </si>
  <si>
    <t>Mc_512</t>
  </si>
  <si>
    <t>512</t>
  </si>
  <si>
    <t>Двухэтапное ОПЗ.</t>
  </si>
  <si>
    <t>проведение 2-х этапного ОПЗ</t>
  </si>
  <si>
    <t>Vt_512г</t>
  </si>
  <si>
    <t>512г</t>
  </si>
  <si>
    <t>Усиление КРС-13 ПРР СБТ-73.</t>
  </si>
  <si>
    <t>5130г</t>
  </si>
  <si>
    <t>Заглубление на 20м</t>
  </si>
  <si>
    <t>Vt_051г</t>
  </si>
  <si>
    <t>51г</t>
  </si>
  <si>
    <t>Смена УЭЦН с заглублением, ОТЗ НЗ</t>
  </si>
  <si>
    <t>520</t>
  </si>
  <si>
    <t>Глушение скважины, подьём пакера ГРП, НЗ, спуск ЭЦН.</t>
  </si>
  <si>
    <t>Ya_535</t>
  </si>
  <si>
    <t>535</t>
  </si>
  <si>
    <t>Восстановление циркуляции в затрубном пространстве</t>
  </si>
  <si>
    <t>Da_542</t>
  </si>
  <si>
    <t>542</t>
  </si>
  <si>
    <t>Подъем пакера ППД, СПО ПСШ, ГИС ОТСЭК, спуск пакера ППД</t>
  </si>
  <si>
    <t>Da_544</t>
  </si>
  <si>
    <t>544</t>
  </si>
  <si>
    <t>545</t>
  </si>
  <si>
    <t>Заглушить, поднять УЭЦН, ловильный работы, спустить УЭЦН.</t>
  </si>
  <si>
    <t>Глушение, подъем УЭЦН, ловильные работы, спуск УЭЦН.</t>
  </si>
  <si>
    <t>Ya_549</t>
  </si>
  <si>
    <t>549</t>
  </si>
  <si>
    <t>Глушение, КЗИ, смена УЭЦН</t>
  </si>
  <si>
    <t>5604рс</t>
  </si>
  <si>
    <t>им. В. И. Кокорина</t>
  </si>
  <si>
    <t>Месторождение промышленных подземных вод им. В.И. Кокорина</t>
  </si>
  <si>
    <t>Смена УЭЦН ГИС</t>
  </si>
  <si>
    <t>56вз</t>
  </si>
  <si>
    <t>Участок Ичединского месторождения Vt LU</t>
  </si>
  <si>
    <t>смена ЭЦН на КДМНУ-2 КП 69</t>
  </si>
  <si>
    <t>пог</t>
  </si>
  <si>
    <t>Работы на КДМНУ 56-1 Ревизия кабеля ЭЦН под ПШ и КВ</t>
  </si>
  <si>
    <t xml:space="preserve">Работы на КДМНУ 56-1 Демонтаж монтаж УЭЦН. </t>
  </si>
  <si>
    <t>Оптимизация ЭЦН в КДМНУ 56-2</t>
  </si>
  <si>
    <t>смена ЭЦН в КДМНУ 56-1</t>
  </si>
  <si>
    <t>монтаж ЭЦН в КДМНУ 69-3</t>
  </si>
  <si>
    <t>Ревизия КВ КДМНУ 56-1</t>
  </si>
  <si>
    <t>5701</t>
  </si>
  <si>
    <t>57</t>
  </si>
  <si>
    <t>Ликвидация аварии, извлечение ЭЦН, НЗ, ПВР с ОПЗ, спуск ЭЦН.</t>
  </si>
  <si>
    <t>5710</t>
  </si>
  <si>
    <t>Глушение скважины. Подъем ЭЦН. Разбуривание МГРП. ОПЗ. Спуск ЭЦН.</t>
  </si>
  <si>
    <t xml:space="preserve">Для протокола отказа
</t>
  </si>
  <si>
    <t>Ya_586</t>
  </si>
  <si>
    <t>586</t>
  </si>
  <si>
    <t xml:space="preserve">Консервация оборудования </t>
  </si>
  <si>
    <t>Ma_005ВЗ</t>
  </si>
  <si>
    <t>5ВЗ</t>
  </si>
  <si>
    <t>Ya_600</t>
  </si>
  <si>
    <t>600</t>
  </si>
  <si>
    <t>601</t>
  </si>
  <si>
    <t>Смена УЭЦН (оптимизация на ЭЦН-5а-800)</t>
  </si>
  <si>
    <t>Ma_601г</t>
  </si>
  <si>
    <t>601г</t>
  </si>
  <si>
    <t>602</t>
  </si>
  <si>
    <t>Установка пакер-пробки в 178 колонну, замена э/к в инт.0-20м, наращивание цемента между 178 и 245 колонной. Установка пробки - изоляция Ул, перфорация Бт, СПО ПСШ, спуск пакера ППД. Определение приемистости.</t>
  </si>
  <si>
    <t>Vt_602</t>
  </si>
  <si>
    <t>полет. для протокола</t>
  </si>
  <si>
    <t>Глушение, установка струбцины</t>
  </si>
  <si>
    <t>Mc_603</t>
  </si>
  <si>
    <t>603</t>
  </si>
  <si>
    <t>Подъем пакера ППД, работы по закрытию порта ГРП на Бт, опрессовка порта, спуск пакера ППД.</t>
  </si>
  <si>
    <t>Vt_6301г</t>
  </si>
  <si>
    <t>6301г</t>
  </si>
  <si>
    <t>63</t>
  </si>
  <si>
    <t xml:space="preserve">М/ж ПШ, М/ж АФК КДМНУ  63-6 </t>
  </si>
  <si>
    <t xml:space="preserve">Работы на КДМНУ-063-6 (вода) Демонтаж и монтаж УЭЦН. </t>
  </si>
  <si>
    <t>смена ЭЦН в КДМНУ 63-6</t>
  </si>
  <si>
    <t>монтаж ЭЦН в КДМНУ 63-6</t>
  </si>
  <si>
    <t xml:space="preserve">СКВ-63-1 КДМУ </t>
  </si>
  <si>
    <t>Работы на КДМНУ-63-1  Монтаж УЭЦН.</t>
  </si>
  <si>
    <t>Смена ЭЦН в КДМНУ 63-1</t>
  </si>
  <si>
    <t>Смена ЭЦН в КДМНУ 63-2</t>
  </si>
  <si>
    <t>6302</t>
  </si>
  <si>
    <t>Звено азот №3</t>
  </si>
  <si>
    <t xml:space="preserve">Компрессирование с ЦДНГ-2
</t>
  </si>
  <si>
    <t>Компрессирование с ЦДНГ-2</t>
  </si>
  <si>
    <t>6308</t>
  </si>
  <si>
    <t xml:space="preserve">Глушение, подьём аварийного ЭЦН, спуск ЭЦН. </t>
  </si>
  <si>
    <t>6309</t>
  </si>
  <si>
    <t>Глушение. Спуск ловильного оборудования. Подъем аварийного оборудования (ЭЦН). Подготовка к посадке пакера. Определение приемистости. Спуск пакера ППД.</t>
  </si>
  <si>
    <t>Ya_641</t>
  </si>
  <si>
    <t>641</t>
  </si>
  <si>
    <t>62</t>
  </si>
  <si>
    <t>Ya_644</t>
  </si>
  <si>
    <t>644</t>
  </si>
  <si>
    <t>42</t>
  </si>
  <si>
    <t>Mc_007</t>
  </si>
  <si>
    <t>ТР.ПНП1-5</t>
  </si>
  <si>
    <t xml:space="preserve">Прведение ОПЗ. </t>
  </si>
  <si>
    <t>7001</t>
  </si>
  <si>
    <t>70</t>
  </si>
  <si>
    <t xml:space="preserve">Извлечение аварийного оборудования каскад, промывка лифта НКТ, востановление циркуляции в затрубном пространстве. </t>
  </si>
  <si>
    <t>7002</t>
  </si>
  <si>
    <t xml:space="preserve">Компрессирование с ЦДНГ-1 </t>
  </si>
  <si>
    <t>Шаблонирование ОК-114 мм, запись ОПП на притоке.</t>
  </si>
  <si>
    <t xml:space="preserve">Компрессирование с ЗОС </t>
  </si>
  <si>
    <t>Активация МГРП. Отработка скважины. Замер дебита. ГДИ.</t>
  </si>
  <si>
    <t>7020г</t>
  </si>
  <si>
    <t>ОТЗ, НЗ, Спуск ЭЦН</t>
  </si>
  <si>
    <t>2Спуск ЭЦВ 8-25-430, Отработка (сутки), Спуск ЭЦН по результату</t>
  </si>
  <si>
    <t>Бурение скважины, Испытание ЭЦВ 8-25-230 (сутки)</t>
  </si>
  <si>
    <t>Yaw_70407рс</t>
  </si>
  <si>
    <t>70407рс</t>
  </si>
  <si>
    <t>704</t>
  </si>
  <si>
    <t>Подъем ЭЦН. Спуск воронки с ППУ на глубину 1100м. Консервация</t>
  </si>
  <si>
    <t>Bt_071-kas</t>
  </si>
  <si>
    <t>71</t>
  </si>
  <si>
    <t>0П</t>
  </si>
  <si>
    <t>В ликвидации</t>
  </si>
  <si>
    <t>Восстановление устья. Шаблонировка ОК-146. Разбуривание ЦМ. ГИС. ПВР. Спуск пакера ГРП (при необходимости НЗ). Ликвидация/консервация скважины (по доп. НЗ и ПР).</t>
  </si>
  <si>
    <t>710</t>
  </si>
  <si>
    <t>Нормализация забоя</t>
  </si>
  <si>
    <t>71603</t>
  </si>
  <si>
    <t>716</t>
  </si>
  <si>
    <t xml:space="preserve">Глушение, ЗР ГРП. </t>
  </si>
  <si>
    <t>Bt_7201</t>
  </si>
  <si>
    <t>7201</t>
  </si>
  <si>
    <t>Бариктинское нефтегазоконденсатное месторождение</t>
  </si>
  <si>
    <t>АО  "ИНК-Запад"</t>
  </si>
  <si>
    <t xml:space="preserve">Демонтаж газосепоратора. </t>
  </si>
  <si>
    <t>Ya_755</t>
  </si>
  <si>
    <t>755</t>
  </si>
  <si>
    <t>67</t>
  </si>
  <si>
    <t xml:space="preserve">Востановление циркуляции по НКТ </t>
  </si>
  <si>
    <t>Az_771</t>
  </si>
  <si>
    <t>771</t>
  </si>
  <si>
    <t>87</t>
  </si>
  <si>
    <t>Az_776</t>
  </si>
  <si>
    <t>776</t>
  </si>
  <si>
    <t>86</t>
  </si>
  <si>
    <t>Глушение, подрыв ПШ, приподъём УЭЦН на 30м, посадка ПШ. По рез-ту смена УЭЦН</t>
  </si>
  <si>
    <t>78</t>
  </si>
  <si>
    <t>Северо-Марковское нефтегазоконденсатное месторождение</t>
  </si>
  <si>
    <t>Восстановление устья.</t>
  </si>
  <si>
    <t>ТР13-1</t>
  </si>
  <si>
    <t>Отогрев устья. Проверка избыточных давлений. Ревизия планшайбы, задвижек.</t>
  </si>
  <si>
    <t>Vt_7805</t>
  </si>
  <si>
    <t>7805</t>
  </si>
  <si>
    <t>Ya_783</t>
  </si>
  <si>
    <t>783</t>
  </si>
  <si>
    <t>Глушение, поиск негерметичной НКТ, смена УЭЦН</t>
  </si>
  <si>
    <t>Ya_784</t>
  </si>
  <si>
    <t>784</t>
  </si>
  <si>
    <t>Vt_812г</t>
  </si>
  <si>
    <t>812г</t>
  </si>
  <si>
    <t>смена ЭЦВ</t>
  </si>
  <si>
    <t>Vt_8404</t>
  </si>
  <si>
    <t>8404</t>
  </si>
  <si>
    <t>84</t>
  </si>
  <si>
    <t xml:space="preserve">Монтаж линии ВВЛ из НКТ-73. Глушение скважины. </t>
  </si>
  <si>
    <t>8405</t>
  </si>
  <si>
    <t xml:space="preserve">Глушение, подьём ЭЦН, извлечение АО, спуск ЭЦН. </t>
  </si>
  <si>
    <t>Глушение, ловильные работы, подъем АО, спуск УЭЦН.</t>
  </si>
  <si>
    <t>8405г</t>
  </si>
  <si>
    <t>Подъём ЭЦН, ОТЗ, НЗ, Спуск ЭЦН</t>
  </si>
  <si>
    <t>8407</t>
  </si>
  <si>
    <t>Глушение, поиск негерметичной НКТ, смена ЭЦН</t>
  </si>
  <si>
    <t>8409</t>
  </si>
  <si>
    <t>Сборка линии от скв 8409 до скв 8411  для ЦДНГ-2</t>
  </si>
  <si>
    <t>Глушение, осторожный подрыв ПШ, подъём НКТ до зеркала жидкости</t>
  </si>
  <si>
    <t>8410</t>
  </si>
  <si>
    <t>Подъем ЭЦН,скрепирование ЭК, спуск пакера ППД</t>
  </si>
  <si>
    <t>8412</t>
  </si>
  <si>
    <t>Промывка НКТ и хвостовика от баритового раствора, ПВР, замещение на облегченный раствор, отработка скважины на АО.</t>
  </si>
  <si>
    <t>Vt_8703</t>
  </si>
  <si>
    <t>8703</t>
  </si>
  <si>
    <t>Опережающее глушение скважины для  КРС-3.</t>
  </si>
  <si>
    <t>Глушение. Изоляция осинского горизонта. ГИС. ПВР. Спуск пакера ППД.</t>
  </si>
  <si>
    <t>8709</t>
  </si>
  <si>
    <t>Смена ЗМС</t>
  </si>
  <si>
    <t xml:space="preserve">Сверление центральной задвижки АФК с ГНКТ. </t>
  </si>
  <si>
    <t>Глушение скважины. Подъем ЭЦН. Разбуривание МГРП. ОПЗ. Закрытие портов ГРП с опрессовкой (при необходимости РИР БС). Спуск ЭЦН.</t>
  </si>
  <si>
    <t>протокол ВЦ</t>
  </si>
  <si>
    <t>8710</t>
  </si>
  <si>
    <t>Глушение, осторожный подрыв ПШ, смена УЭЦН/ЛА по рез-ту</t>
  </si>
  <si>
    <t>Глушение скважины. Подъем ЭЦН. Разбуривание МГРП+БК ОК-114. Спуск тех. пакера. ОПЗ на ОС. Спуск ЭЦН.</t>
  </si>
  <si>
    <t>8711</t>
  </si>
  <si>
    <t xml:space="preserve">Компрессирование </t>
  </si>
  <si>
    <t>8803</t>
  </si>
  <si>
    <t>88</t>
  </si>
  <si>
    <t>Глушение скважины. Подъем ЭЦН. Разбуривание МГРП. ОПЗ. ПВР (по доп. согласованию). Спуск ЭЦН.</t>
  </si>
  <si>
    <t>для протокла</t>
  </si>
  <si>
    <t>Vt_8804</t>
  </si>
  <si>
    <t>8804</t>
  </si>
  <si>
    <t>Востановление циркуляции + ГКО на ЭЦН.</t>
  </si>
  <si>
    <t>М</t>
  </si>
  <si>
    <t>8810</t>
  </si>
  <si>
    <t>Отработка на АО, замер дебита, ГДИ, глушение, подъем УГРП, спуск УЭЦН.</t>
  </si>
  <si>
    <t>Востановление циркуляции в НКТ.</t>
  </si>
  <si>
    <t>перевод скважины с раствора у-1,70 на раствор у-1,18г/см3</t>
  </si>
  <si>
    <t>8811</t>
  </si>
  <si>
    <t>Mr_901_mc</t>
  </si>
  <si>
    <t>901</t>
  </si>
  <si>
    <t>Mc_902-mc</t>
  </si>
  <si>
    <t>902mc</t>
  </si>
  <si>
    <t>9105</t>
  </si>
  <si>
    <t>Звено азот №1</t>
  </si>
  <si>
    <t>Компрессирование в НКТ/затруб (по согласованию с ЦДНГ)</t>
  </si>
  <si>
    <t>Ic_919</t>
  </si>
  <si>
    <t>919</t>
  </si>
  <si>
    <t>92</t>
  </si>
  <si>
    <t xml:space="preserve">Подъём до зеркала. Устранение НГ НКТ. Смена УЭЦН. </t>
  </si>
  <si>
    <t>Глушение, подъем УЭЦН, определение приемистости, запись CO-каротажа, ПВР, СКО, спуск УЭЦН.</t>
  </si>
  <si>
    <t>924</t>
  </si>
  <si>
    <t xml:space="preserve">Глушение совместно с «Петрокемикал-Солюшн» </t>
  </si>
  <si>
    <t>Опережающее глушение для КРС-34</t>
  </si>
  <si>
    <t>Au_9303г</t>
  </si>
  <si>
    <t>9303г</t>
  </si>
  <si>
    <t>93</t>
  </si>
  <si>
    <t>ТР5-6</t>
  </si>
  <si>
    <t>ПД ЭЦН СП воронки</t>
  </si>
  <si>
    <t>Ya_949</t>
  </si>
  <si>
    <t>949</t>
  </si>
  <si>
    <t>230</t>
  </si>
  <si>
    <t xml:space="preserve">Востановление циркуляции в НКТ с ГНКТ </t>
  </si>
  <si>
    <t>9502</t>
  </si>
  <si>
    <t>Глушение скважины. Подъем УГРП. Спуск воронки с ПМ. Перевод на пластовую воду.</t>
  </si>
  <si>
    <t>9503</t>
  </si>
  <si>
    <t xml:space="preserve">Компрессирование с ЗОС 2 </t>
  </si>
  <si>
    <t>Ic_960</t>
  </si>
  <si>
    <t>960</t>
  </si>
  <si>
    <t>Au_962г</t>
  </si>
  <si>
    <t>962г</t>
  </si>
  <si>
    <t>Смена ТР УЭЦН</t>
  </si>
  <si>
    <t>Au_9706</t>
  </si>
  <si>
    <t>9706</t>
  </si>
  <si>
    <t>97</t>
  </si>
  <si>
    <t xml:space="preserve">Демонтаж линии ВВЛ L-250 м.  </t>
  </si>
  <si>
    <t>Ma_009ВЗ</t>
  </si>
  <si>
    <t>9ВЗ</t>
  </si>
  <si>
    <t>Подъём ЭЦН, Подъём доп колонны, ОТЗ, НЗ, Спуск ЭЦН.</t>
  </si>
  <si>
    <t>Ma_1XX</t>
  </si>
  <si>
    <t>0</t>
  </si>
  <si>
    <t>Инертизация УПОУ 1-2; УЗОУ 1-3; УПОУ 2-1</t>
  </si>
  <si>
    <t>Vt_1XX</t>
  </si>
  <si>
    <t>Продувка временного трубопровода ПАТ от КП-87 ВТЛУ до точки подключения УЗ 87.4Н.</t>
  </si>
  <si>
    <t>Азотирование сырой нефти РГС-1 на КП-57 ВТЛУ БУОС-5.</t>
  </si>
  <si>
    <t>Продувка временного трубопровода Временного нефтегазопровода ПАТ от КП-87 ВтЛУ до точки подключения в НСК от КП-87 (УЗ 87.4Н)</t>
  </si>
  <si>
    <t>Ya_1XX</t>
  </si>
  <si>
    <t>Ожидание графика движения.</t>
  </si>
  <si>
    <t>Ya_2XX</t>
  </si>
  <si>
    <t xml:space="preserve">
Азотирование трубопровода ПАТ ои УЗА 244.2Н до 84.3Н</t>
  </si>
  <si>
    <t xml:space="preserve">Инертизация трубопровода и СРД, опрессовка оборудования. ЦПГ-1 УКПГ </t>
  </si>
  <si>
    <t>ПСП-1Г</t>
  </si>
  <si>
    <t>ПСП</t>
  </si>
  <si>
    <t>Подъём ЭЦВ, ОТЗ, НЗ (ЖОР), Замер приёмистости, Спуск ЭЦВ</t>
  </si>
  <si>
    <t>Подъём ЭЦВ, ОТЗ, НЗ, Смена ЭЦВ</t>
  </si>
  <si>
    <t>Vt_5011</t>
  </si>
  <si>
    <t>Ma_800</t>
  </si>
  <si>
    <t>ож подгот
ож эцн</t>
  </si>
  <si>
    <t>Vt_3401</t>
  </si>
  <si>
    <t>Vt_3403</t>
  </si>
  <si>
    <t>Ki_3302</t>
  </si>
  <si>
    <t>ПР к ГРП</t>
  </si>
  <si>
    <t>ЗР к ГРП с приобщением</t>
  </si>
  <si>
    <t>Ya_386</t>
  </si>
  <si>
    <t>Ya_241</t>
  </si>
  <si>
    <t>Ya_169</t>
  </si>
  <si>
    <t>Ya_761</t>
  </si>
  <si>
    <t>смена ЭЦН на отказной скважине с НЗ + СКВИЗ</t>
  </si>
  <si>
    <t>Az_216</t>
  </si>
  <si>
    <t>Bt_1204</t>
  </si>
  <si>
    <t>Az_870</t>
  </si>
  <si>
    <t>Ya_147</t>
  </si>
  <si>
    <t>ППР + ДПП</t>
  </si>
  <si>
    <t>Ya_107</t>
  </si>
  <si>
    <t>Au_520</t>
  </si>
  <si>
    <t>Смена ЭЦН, НЗ, ОПЗ</t>
  </si>
  <si>
    <t>Ya_294</t>
  </si>
  <si>
    <t xml:space="preserve">спуск ЭЦН 
</t>
  </si>
  <si>
    <t>Bt_016г</t>
  </si>
  <si>
    <t>перевод в шурфовую</t>
  </si>
  <si>
    <t>ож грп 
ож зос</t>
  </si>
  <si>
    <t>Vt_8420вз</t>
  </si>
  <si>
    <t>ПР к  ГРП по результам ГНКТ</t>
  </si>
  <si>
    <t xml:space="preserve">КОПС извлечение аварийного скребка каскад </t>
  </si>
  <si>
    <t>Vt_33310</t>
  </si>
  <si>
    <t>Vt_4603</t>
  </si>
  <si>
    <t>Da_537</t>
  </si>
  <si>
    <t>Da_543</t>
  </si>
  <si>
    <t>Ki_8902</t>
  </si>
  <si>
    <t>Смена ЭЦН на отказной скважине
опрессовываем лифт перед подъёмом, в случае зафиксированного падения давления будет поинтервальная опрессовка</t>
  </si>
  <si>
    <t>Vt_631</t>
  </si>
  <si>
    <t>Ya_272</t>
  </si>
  <si>
    <t>Смена ЭЦН (ППР)</t>
  </si>
  <si>
    <t>Ya_156</t>
  </si>
  <si>
    <t>Ya_313</t>
  </si>
  <si>
    <t>Смена НКТ 114</t>
  </si>
  <si>
    <t>Ya_862</t>
  </si>
  <si>
    <t>Смена НКТ 89, наработка 2759 суток</t>
  </si>
  <si>
    <t xml:space="preserve">Промывка ОК до ТЗ. ГИС: ОПП под закачкой. ОПЗ. ГИС: ОПП.   </t>
  </si>
  <si>
    <t>Au_9101</t>
  </si>
  <si>
    <t>Ma_719</t>
  </si>
  <si>
    <t>Определение интервалов поступления воды, с последующим закрытием муфт ГРП, по результату ОПП.</t>
  </si>
  <si>
    <t xml:space="preserve"> ЛА, (Отвернули НКТ. Произвели извлечение запыжованного кабеля)
Разбуривание МГРП, ПВР и ОПЗ. ГИС МДСТ в ЭК 178мм</t>
  </si>
  <si>
    <t>ож кгрп
ож зос</t>
  </si>
  <si>
    <t>ГИС ОПП на притоке</t>
  </si>
  <si>
    <t>ГИС ОПП под закачкой</t>
  </si>
  <si>
    <t>ож зос</t>
  </si>
  <si>
    <t>Vt_3406</t>
  </si>
  <si>
    <t xml:space="preserve">спуск ЭЦН </t>
  </si>
  <si>
    <t>Vt_3306г</t>
  </si>
  <si>
    <t>Vt_912г</t>
  </si>
  <si>
    <t>Au_522</t>
  </si>
  <si>
    <t>Ya_004знхг</t>
  </si>
  <si>
    <t>Ya_737</t>
  </si>
  <si>
    <t>Ya_188</t>
  </si>
  <si>
    <t>Ya_926</t>
  </si>
  <si>
    <t>Ya_499</t>
  </si>
  <si>
    <t>ремонт ППД</t>
  </si>
  <si>
    <t>отработка после КГРП</t>
  </si>
  <si>
    <t>Da_512</t>
  </si>
  <si>
    <t>ВБД. Подъем ЭЦН, СПО ПСШ, спуск пакера в хвостовик 114, ОПЗ с ВНЭ, подъем пакера, спуск ЭЦН. Нужен ЭЦН малогабарит.</t>
  </si>
  <si>
    <t>Смена НКТ, наработка 2167 суток</t>
  </si>
  <si>
    <t>Vt_1101</t>
  </si>
  <si>
    <t>спуск ЭЦН после ЗОС</t>
  </si>
  <si>
    <t>Ya_596</t>
  </si>
  <si>
    <t>9 Андижон ООО "АндижонНГКТваБ"-Русь"</t>
  </si>
  <si>
    <t>Bt_1506</t>
  </si>
  <si>
    <t>Перевод в ППД. Остановка на ГДИС за 1 сут до постановки ТКРС. Подъем ЭЦН, СПО ПСШ, спуск пакера ППД. Определение приемистости.</t>
  </si>
  <si>
    <t>НЗ с извлечнием ЭК-178, ЭЦВ спускаем тот же</t>
  </si>
  <si>
    <t>извлечение  ЭЦВ с автокрана</t>
  </si>
  <si>
    <t>Ma_001пг</t>
  </si>
  <si>
    <t>Ma_44г</t>
  </si>
  <si>
    <t>Bt_1530рс</t>
  </si>
  <si>
    <t>Mr_1706</t>
  </si>
  <si>
    <t>Смена НКТ 73 на 102</t>
  </si>
  <si>
    <t>Au_9602</t>
  </si>
  <si>
    <t>КОПС, Смена ЭЦН на отказной скважине + ГИС (ИНГКС + СО + плотность и проводимость) 1560-2290м (спуск капилярной трубки)</t>
  </si>
  <si>
    <t>Mc_011</t>
  </si>
  <si>
    <t xml:space="preserve">перевод в ППД
</t>
  </si>
  <si>
    <t xml:space="preserve">подъем ЭК, проработка ствола, спуск глухо ЭК, цементаж, ГИС ПВР, ОПП по рез-ту ОПЗ, спуск ЭЦН
</t>
  </si>
  <si>
    <t>Au_384</t>
  </si>
  <si>
    <t>Vt_8403</t>
  </si>
  <si>
    <t>Прихват ЭЦН в колонне, отстрел НКТ</t>
  </si>
  <si>
    <t>Ya_101</t>
  </si>
  <si>
    <t xml:space="preserve">ПР к ГРП
</t>
  </si>
  <si>
    <t>Ya_0402г</t>
  </si>
  <si>
    <t xml:space="preserve">расконсервация
</t>
  </si>
  <si>
    <t>Msh_7601</t>
  </si>
  <si>
    <t>31.12.1899</t>
  </si>
  <si>
    <t>Ya_627</t>
  </si>
  <si>
    <t>Ya_374</t>
  </si>
  <si>
    <t>Vt_33311</t>
  </si>
  <si>
    <t>спуск эцн после отработки зос</t>
  </si>
  <si>
    <t>02.05.2026</t>
  </si>
  <si>
    <t>Ma_700</t>
  </si>
  <si>
    <t>оптимизация НКТ 114</t>
  </si>
  <si>
    <t>ож нкт
ож фа</t>
  </si>
  <si>
    <t>Ma_709</t>
  </si>
  <si>
    <t>Ma_008</t>
  </si>
  <si>
    <t>Vt_17904</t>
  </si>
  <si>
    <t>Ya_303</t>
  </si>
  <si>
    <t>Ya_226</t>
  </si>
  <si>
    <t>Az_409</t>
  </si>
  <si>
    <t>ОПЗ</t>
  </si>
  <si>
    <t>Ya_019</t>
  </si>
  <si>
    <t>Смена НКТ 89-&gt;102 при нормальном прохождении в ЭК 146, наработка 2370 суток</t>
  </si>
  <si>
    <t>Ya_817</t>
  </si>
  <si>
    <t xml:space="preserve">Mc_б/н </t>
  </si>
  <si>
    <t>26.03.2026</t>
  </si>
  <si>
    <t>продолжение ремонта. Нарушение ЭК Н=19-20м,  установка пробки - изоляция Ул, перфорация Бт, СПО ПСШ, спуск пакера ППД. Определение приемистости.</t>
  </si>
  <si>
    <t>Au_097г</t>
  </si>
  <si>
    <t>Bt_1202</t>
  </si>
  <si>
    <t>ПР ГРП. Подъем воронки спуск УГР</t>
  </si>
  <si>
    <t>Yaw_5002г</t>
  </si>
  <si>
    <t>Активации, СКО, Освоение
По результату освоения, КРС спуск ЭЦН.</t>
  </si>
  <si>
    <t>Vt_5012</t>
  </si>
  <si>
    <t>Vt_8813</t>
  </si>
  <si>
    <t>КРС</t>
  </si>
  <si>
    <t>ЗОС</t>
  </si>
  <si>
    <t>КРС
ЗОС</t>
  </si>
  <si>
    <t>ВБД. Подъем ЭЦН, СПО ПСШ, спуск ЭЦН. Нужен ЭЦН малогабарит.</t>
  </si>
  <si>
    <t>Ki_71610г</t>
  </si>
  <si>
    <t>спуск ЭЦН, испытание</t>
  </si>
  <si>
    <t>Ya_029вз</t>
  </si>
  <si>
    <t>смена ЭЦН (деоптимизация)</t>
  </si>
  <si>
    <t>Az_8802г</t>
  </si>
  <si>
    <t>ВБД</t>
  </si>
  <si>
    <t>Ya_027вз</t>
  </si>
  <si>
    <t>Ya_310вз</t>
  </si>
  <si>
    <t>КРС
ЗОС
КРС</t>
  </si>
  <si>
    <t>Au_970вз</t>
  </si>
  <si>
    <t>ЭЦН-250 в кожухе. Под перевод 9703</t>
  </si>
  <si>
    <t>Au_9710г</t>
  </si>
  <si>
    <t>Ya_675</t>
  </si>
  <si>
    <t>Au_9201г</t>
  </si>
  <si>
    <t>Деоптимизация GN10000 на Э-800</t>
  </si>
  <si>
    <t>ГНКТ</t>
  </si>
  <si>
    <t>ГНКТ
КРС
ЗОС</t>
  </si>
  <si>
    <t>Ya_614</t>
  </si>
  <si>
    <t>ЛА, НЗ (разбуривание МГРП), Смена ЭЦН на отказной скважине, Увеличение ремонта за счет доп работ. ПВР</t>
  </si>
  <si>
    <t>ПР к ГРП. Закрытие муфты №3 ключем "Зенит"</t>
  </si>
  <si>
    <t>Смена пакера ППД.</t>
  </si>
  <si>
    <t>КОПС</t>
  </si>
  <si>
    <t>Vt_641</t>
  </si>
  <si>
    <t>прочий</t>
  </si>
  <si>
    <t>Ic_395</t>
  </si>
  <si>
    <t>ППР ППД</t>
  </si>
  <si>
    <t>консервация с ЦМ</t>
  </si>
  <si>
    <t>ППР</t>
  </si>
  <si>
    <t>эцв в налич</t>
  </si>
  <si>
    <t>Au_9703</t>
  </si>
  <si>
    <t>Подъем УЭЦН, спуск пакера ППД на НКТ 89мм</t>
  </si>
  <si>
    <t>Ya_656</t>
  </si>
  <si>
    <t>Ya_590</t>
  </si>
  <si>
    <t>Ya_951</t>
  </si>
  <si>
    <t>Ya_106</t>
  </si>
  <si>
    <t>Yaw_70110рс</t>
  </si>
  <si>
    <t>ВНС ППД</t>
  </si>
  <si>
    <t>Yaw_70108рс</t>
  </si>
  <si>
    <t>ВНС рассолы</t>
  </si>
  <si>
    <t>Yaw_70102рс</t>
  </si>
  <si>
    <t>Ya_621</t>
  </si>
  <si>
    <t>Am_221</t>
  </si>
  <si>
    <t>Am_220</t>
  </si>
  <si>
    <t>до постановки бригады установить антиприхват
Смена ЭЦН на отказной скважине</t>
  </si>
  <si>
    <t>Am_235</t>
  </si>
  <si>
    <t>смена ЭЦН, ОТЗ, НЗ + ОПЗ</t>
  </si>
  <si>
    <t>Ya_5кпг</t>
  </si>
  <si>
    <t>ОТЗ, НЗ, Шаблонировка ЭК, спуск ЭЦН</t>
  </si>
  <si>
    <t>Ic_350</t>
  </si>
  <si>
    <t>спуск эцн над головой аварийного оборудования</t>
  </si>
  <si>
    <t>НЗ - промывка после СТОП, ГИС</t>
  </si>
  <si>
    <t>17.12.2024</t>
  </si>
  <si>
    <t>19.02.2026</t>
  </si>
  <si>
    <t>16.04.2026</t>
  </si>
  <si>
    <t>22.06.2025</t>
  </si>
  <si>
    <t>Ya_838</t>
  </si>
  <si>
    <t>20.02.2025</t>
  </si>
  <si>
    <t>12.09.2024</t>
  </si>
  <si>
    <t>29.10.2024</t>
  </si>
  <si>
    <t>25.08.2025</t>
  </si>
  <si>
    <t>26.07.2025</t>
  </si>
  <si>
    <t>20.10.2024</t>
  </si>
  <si>
    <t>15.06.2024</t>
  </si>
  <si>
    <t>17.10.2024</t>
  </si>
  <si>
    <t>17.06.2024</t>
  </si>
  <si>
    <t>24.02.2026</t>
  </si>
  <si>
    <t>11.03.2026</t>
  </si>
  <si>
    <t>03.10.2025</t>
  </si>
  <si>
    <t>30.04.2026</t>
  </si>
  <si>
    <t>подъем ЭЦН спуск компоновки ППД (сброс)</t>
  </si>
  <si>
    <t>28.03.2025</t>
  </si>
  <si>
    <t>18.02.2025</t>
  </si>
  <si>
    <t>20.07.2025</t>
  </si>
  <si>
    <t>02.01.2026</t>
  </si>
  <si>
    <t>Клапан отсекатель не открылся, под клапаном изб. давление</t>
  </si>
  <si>
    <t>11.12.2025</t>
  </si>
  <si>
    <t>23.11.2024</t>
  </si>
  <si>
    <t>03.06.2025</t>
  </si>
  <si>
    <t>18.12.2025</t>
  </si>
  <si>
    <t>03.02.2026</t>
  </si>
  <si>
    <t>19.10.2025</t>
  </si>
  <si>
    <t>27.04.2026</t>
  </si>
  <si>
    <t>13.04.2026</t>
  </si>
  <si>
    <t>21.07.2024</t>
  </si>
  <si>
    <t>03.04.2026</t>
  </si>
  <si>
    <t>01.09.2025</t>
  </si>
  <si>
    <t>02.10.2025</t>
  </si>
  <si>
    <t>18.05.2026</t>
  </si>
  <si>
    <t>10.05.2025</t>
  </si>
  <si>
    <t>перевод в шурфовую (резерв)</t>
  </si>
  <si>
    <t>23.01.2026</t>
  </si>
  <si>
    <t>30.07.2025</t>
  </si>
  <si>
    <t>09.06.2025</t>
  </si>
  <si>
    <t>26.08.2024</t>
  </si>
  <si>
    <t>01.05.2025</t>
  </si>
  <si>
    <t>03.02.2025</t>
  </si>
  <si>
    <t>23.08.2025</t>
  </si>
  <si>
    <t>24.06.2024</t>
  </si>
  <si>
    <t>17.01.2025</t>
  </si>
  <si>
    <t>17.07.2024</t>
  </si>
  <si>
    <t>24.03.2024</t>
  </si>
  <si>
    <t>23.11.2025</t>
  </si>
  <si>
    <t>07.06.2024</t>
  </si>
  <si>
    <t>04.06.2025</t>
  </si>
  <si>
    <t>20.04.2024</t>
  </si>
  <si>
    <t>27.12.2025</t>
  </si>
  <si>
    <t>19.03.2026</t>
  </si>
  <si>
    <t>21.02.2026</t>
  </si>
  <si>
    <t>23.03.2026</t>
  </si>
  <si>
    <t>13.05.2026</t>
  </si>
  <si>
    <t>04.05.2026</t>
  </si>
  <si>
    <t>Ya_844</t>
  </si>
  <si>
    <t>смена нкт (ППР)</t>
  </si>
  <si>
    <t>Ya_820</t>
  </si>
  <si>
    <t>Az_085-4г</t>
  </si>
  <si>
    <t>НЗ, ГИС ОПП, по рез-ту ГИС ОПЗ СКО</t>
  </si>
  <si>
    <t>Vt_301</t>
  </si>
  <si>
    <t>НЗ, спуск ЭЦН</t>
  </si>
  <si>
    <t>08.06.2025</t>
  </si>
  <si>
    <t>ВЦ НКТ (под ГНКТ 7)</t>
  </si>
  <si>
    <t>- разбуривание  по мах глубине дохождению
- проведение ГПП+ГРП при бригаде
- НЗ после ГПП
- по результату спуск ЭЦН</t>
  </si>
  <si>
    <t>ВЦ НКТ
второй подход (КОПС)</t>
  </si>
  <si>
    <t>ЛА. Восстановление цем.камня между 178 и 245 колонной. По наличию трубореза</t>
  </si>
  <si>
    <t>Прочие ГТМ ППД (спуск пакера)</t>
  </si>
  <si>
    <t>ож гнкт
эцн в налич</t>
  </si>
  <si>
    <t>Прочие ГТМ ППД (спуск пакера, сброс)</t>
  </si>
  <si>
    <t>Ki_4702</t>
  </si>
  <si>
    <t>18.01.2025</t>
  </si>
  <si>
    <t>спуск ЭЦН над негерметом в отработку (над АО)</t>
  </si>
  <si>
    <t>Перепосадка УГРП</t>
  </si>
  <si>
    <t>Ya_236</t>
  </si>
  <si>
    <t>НЗ + ОПЗ</t>
  </si>
  <si>
    <t>Ya_174</t>
  </si>
  <si>
    <t>Смена ЭЦН на отказной скважине
Смена НКТ: полная смена</t>
  </si>
  <si>
    <t>05.12.2025</t>
  </si>
  <si>
    <t>по р-там ВНР</t>
  </si>
  <si>
    <t>Az_780</t>
  </si>
  <si>
    <t>спуск ЭЦН над негерметом в отработку</t>
  </si>
  <si>
    <t>Au_348</t>
  </si>
  <si>
    <t>Ic_375</t>
  </si>
  <si>
    <t>ЛА при смене</t>
  </si>
  <si>
    <t>Ki_4704</t>
  </si>
  <si>
    <t>23.06.2025</t>
  </si>
  <si>
    <t>меш</t>
  </si>
  <si>
    <t>Ya_218</t>
  </si>
  <si>
    <t>Mr_1505</t>
  </si>
  <si>
    <t>22.12.2025</t>
  </si>
  <si>
    <t>мобилизация на Центральный регион</t>
  </si>
  <si>
    <t>промывка после СТОП</t>
  </si>
  <si>
    <t xml:space="preserve">ГИС ОПП - подозрение на негермет хвостовика. При ГРП высокая приемистость </t>
  </si>
  <si>
    <t>Извлечение НКТ 114, извлечение втулок (4 штуки -стейджфрак)  спуск НКТ 89 под освоение 1700-2500</t>
  </si>
  <si>
    <t>Az_260</t>
  </si>
  <si>
    <t xml:space="preserve">НЗ </t>
  </si>
  <si>
    <t>Vt_5705</t>
  </si>
  <si>
    <t>смена НКТ 114х89</t>
  </si>
  <si>
    <t>извлечение ЭЦН спуск воронки Н=1710м
(подъем Э-200-2400)</t>
  </si>
  <si>
    <t>Vt_17010г</t>
  </si>
  <si>
    <t>спуск ЭЦН после подготовки устья с автокрана</t>
  </si>
  <si>
    <t>ВЦ по ЗТР, смена ЭЦН</t>
  </si>
  <si>
    <t>Da_517</t>
  </si>
  <si>
    <t xml:space="preserve">смена ЭЦВ </t>
  </si>
  <si>
    <t>Vt_8106</t>
  </si>
  <si>
    <t>Mc_1908</t>
  </si>
  <si>
    <t>подъем пакера спуск ЭЦН</t>
  </si>
  <si>
    <t>Смена ЭЦН на отказной скважине
по рез-ту д-жа вышли на НЗ</t>
  </si>
  <si>
    <t xml:space="preserve"> спуск ЭЦН с автокрана</t>
  </si>
  <si>
    <t>Vt_17910г</t>
  </si>
  <si>
    <t>извлечение ЭЦВ для подготовки устья к спуску ЭЦН</t>
  </si>
  <si>
    <t>КР2-1</t>
  </si>
  <si>
    <t xml:space="preserve"> ОТЗ/НЗ ОПЗ, ГДК</t>
  </si>
  <si>
    <t>ПСШ, спуск ЭЦН</t>
  </si>
  <si>
    <t>Yaw_5601г</t>
  </si>
  <si>
    <t>спуск ЭЦВ с автокрана</t>
  </si>
  <si>
    <t>Yaw_5611г</t>
  </si>
  <si>
    <t>консервация</t>
  </si>
  <si>
    <t>Yaw_5608г</t>
  </si>
  <si>
    <t>Yaw_400рс</t>
  </si>
  <si>
    <t>Az_267</t>
  </si>
  <si>
    <t>Au_460</t>
  </si>
  <si>
    <t>Az_393</t>
  </si>
  <si>
    <t>Шаблонирование НКТ, ОК-114 мм, по результатам доведение шара до порта №2, активация порта, по результатам ОПП.</t>
  </si>
  <si>
    <t>крс</t>
  </si>
  <si>
    <t>Bt_1205</t>
  </si>
  <si>
    <t xml:space="preserve">отработка после КГРП </t>
  </si>
  <si>
    <t>Vt_4604</t>
  </si>
  <si>
    <t>18.11.2024</t>
  </si>
  <si>
    <t>Подъем ЭЦН, СПО ПСШ, спуск ЭЦН.</t>
  </si>
  <si>
    <t>ож гнкт
ож зос</t>
  </si>
  <si>
    <t>эцн в поставках</t>
  </si>
  <si>
    <t>26 КРС ООО "ИНК-ТКРС"</t>
  </si>
  <si>
    <t>Ic_043</t>
  </si>
  <si>
    <t xml:space="preserve">Отстрел НКТ. При подъеме НКТ отставание кабеля + отсутсвие клямс. ЛА по извлечению прихваченного ЭЦН с пакером
Смена ЭЦН с пакером, непроход по НКТ 5 метров
</t>
  </si>
  <si>
    <t>Ki_71602</t>
  </si>
  <si>
    <t>Спуск Э-500, отработка силами ЗОС</t>
  </si>
  <si>
    <t>16.09.2025</t>
  </si>
  <si>
    <t>НЗ, ОПЗ</t>
  </si>
  <si>
    <t>Vt_5602</t>
  </si>
  <si>
    <t>Перевод в ППД - Подъем ЭЦН, Запись ГИС (СО, ИИНК, ИНГКС),  спуск пакера.</t>
  </si>
  <si>
    <t>Смена ЭЦН на отказной скважине
Предварительно "полет" НКТ
ОПЗ, спуск ЭЦН</t>
  </si>
  <si>
    <t xml:space="preserve">эцн в поставке </t>
  </si>
  <si>
    <t>Msh_3705</t>
  </si>
  <si>
    <t>Смена ЭЦН на МТР</t>
  </si>
  <si>
    <t>эцн нет в поставках</t>
  </si>
  <si>
    <t>Извлечение ЭЦН для отправки в ремонт</t>
  </si>
  <si>
    <t>Ya_230вз</t>
  </si>
  <si>
    <t>подъем воронки, ПСШ,  спуск ЭЦН</t>
  </si>
  <si>
    <t>эцн в поставке</t>
  </si>
  <si>
    <t>Au_359</t>
  </si>
  <si>
    <t>Vt_8805</t>
  </si>
  <si>
    <t>кгрп</t>
  </si>
  <si>
    <t>ОПЗ на отказной скважине</t>
  </si>
  <si>
    <t>разбуривание МГРП, БК, нормализация открытого ствола, спуск УГРП</t>
  </si>
  <si>
    <t>20.01.2026</t>
  </si>
  <si>
    <t>ПДМ УГРП, Спуск ЭЦН</t>
  </si>
  <si>
    <t>ЗР после ГРП (подъем УГРП, перфорация, спуск УЭЦН) – 138ч (4,02млн.)</t>
  </si>
  <si>
    <t>эцн на повтроный спуск</t>
  </si>
  <si>
    <t>подъем колонны, НЗ в открытом стволе, спуск глухой колонны цементаж и ПВР</t>
  </si>
  <si>
    <t>06.02.2026</t>
  </si>
  <si>
    <t>Msh_7010г</t>
  </si>
  <si>
    <t>25.04.2025</t>
  </si>
  <si>
    <t>Mc_511</t>
  </si>
  <si>
    <t>ВЦ по НКТ</t>
  </si>
  <si>
    <t>Mr_1704</t>
  </si>
  <si>
    <t>ГИС Y-TOOL</t>
  </si>
  <si>
    <t>15.04.2025</t>
  </si>
  <si>
    <t>Mr_1905</t>
  </si>
  <si>
    <t>06.06.2024</t>
  </si>
  <si>
    <t>низкий</t>
  </si>
  <si>
    <t>Спуск ЭЦН после ЗОС</t>
  </si>
  <si>
    <t>извлечение для ревизии с автокрана</t>
  </si>
  <si>
    <t>Спуск ЭЦН автокрана</t>
  </si>
  <si>
    <t xml:space="preserve">Спуск ЭЦН после КГРП и отработки ЗОС
</t>
  </si>
  <si>
    <t>02.02.2026</t>
  </si>
  <si>
    <t>смена ЭЦН на отказной скважине 
по рез-ту КЗИ возможно ПДМ до сростка</t>
  </si>
  <si>
    <t>Da_515</t>
  </si>
  <si>
    <t>смена ЭЦН на МТР работает Э-700</t>
  </si>
  <si>
    <t>фонтан</t>
  </si>
  <si>
    <t>ПМД Подъем УГРП, спуск ЭЦН</t>
  </si>
  <si>
    <t>24.07.2025</t>
  </si>
  <si>
    <t>Mc_514</t>
  </si>
  <si>
    <t>Спуск Y-Tool.</t>
  </si>
  <si>
    <t>Подъем Y-Tool, по результатам РИР.</t>
  </si>
  <si>
    <t>Mc_610</t>
  </si>
  <si>
    <t>Остановка на ГДИС за 1 сут до постановки ТКРС. Подъем ЭЦН, СПО ПСШ, спуск пакера ППД. Определение приемистости.</t>
  </si>
  <si>
    <t>18.07.2025</t>
  </si>
  <si>
    <t>ВПП по результатам ПГИ</t>
  </si>
  <si>
    <t>Mc_609</t>
  </si>
  <si>
    <t>03.09.2025</t>
  </si>
  <si>
    <t>Mc_201</t>
  </si>
  <si>
    <t>ОПЗ. Подъем ЭЦН. СПО ПСШ, спуск пакера на середину ГС. ОПЗ по трубкам и затрубу. ОРК. Спуск ЭЦН.</t>
  </si>
  <si>
    <t>Mc_210</t>
  </si>
  <si>
    <t>Подъем ЭЦН, спуск воронки</t>
  </si>
  <si>
    <t>12.04.2025</t>
  </si>
  <si>
    <t>смена на МТР</t>
  </si>
  <si>
    <t>извлечение ЭК, НЗ, спуск глухой колонны, ПВР, и спуск ЭЦН</t>
  </si>
  <si>
    <t xml:space="preserve">извлечение частей ЭЦВ с забоя. НЗ забоя до Н=250м, передаем на обвязку устья, </t>
  </si>
  <si>
    <t xml:space="preserve">спуск ЭЦН после подготовки устья с автокрана
</t>
  </si>
  <si>
    <t>Мобилизация на Маччобу</t>
  </si>
  <si>
    <t>Mc_208</t>
  </si>
  <si>
    <t>21.01.2025</t>
  </si>
  <si>
    <t>Mr_1907</t>
  </si>
  <si>
    <t>Приобщение. Подъем пакера ППД. Разбуривание пакер-пробки над Ул, ОП Ул, по результатам предусмотреть ОПЗ. Спуск пакера ППД.</t>
  </si>
  <si>
    <t>12.11.2024</t>
  </si>
  <si>
    <t>Mr_1709</t>
  </si>
  <si>
    <t>12.09.2025</t>
  </si>
  <si>
    <t>Спуск Y-Tool</t>
  </si>
  <si>
    <t>Mr_1707</t>
  </si>
  <si>
    <t>Mr_1705</t>
  </si>
  <si>
    <t>03.11.2024</t>
  </si>
  <si>
    <t>КР-ОС-2</t>
  </si>
  <si>
    <t>Bt_002</t>
  </si>
  <si>
    <t>Расконсервация, ПВЛГ:  Нормализация забоя до гл. 1921м, опрессовка э/к., ГИС, ПВР Булай, ГДК, селективное ОПЗ. Спуск Э-125.</t>
  </si>
  <si>
    <t>Vt_088г</t>
  </si>
  <si>
    <t>Vt_8808</t>
  </si>
  <si>
    <t>Смена ЭЦН на отказной скважине.</t>
  </si>
  <si>
    <t>спуск ЭЦН для отработки скважины</t>
  </si>
  <si>
    <t>разбуривания ЦМ, спуск УГРП (ПР к ГРП)</t>
  </si>
  <si>
    <t>Ya_5110г</t>
  </si>
  <si>
    <t>извлечение ЭЦВ с автокрана. При простое бригады на скв 5604рс выполнить вне очереди</t>
  </si>
  <si>
    <t xml:space="preserve">консервация. С автокрана </t>
  </si>
  <si>
    <t>Yaw_23004рс</t>
  </si>
  <si>
    <t>извлечение ЭЦН. И двухлифтовой компоновке</t>
  </si>
  <si>
    <t>ПМД с нормализацией</t>
  </si>
  <si>
    <t xml:space="preserve">ож переводника
эцн в налич
</t>
  </si>
  <si>
    <t>НЗ, снижение притока ("полет" по НКТ), ЛА, ОТЗ, НЗ, спуск ЭЦН.</t>
  </si>
  <si>
    <t xml:space="preserve">ВЦ НКТ </t>
  </si>
  <si>
    <t>Au_361</t>
  </si>
  <si>
    <t>НЗ, ПВР</t>
  </si>
  <si>
    <t>Vt_608</t>
  </si>
  <si>
    <t>отработка после ГНКТ</t>
  </si>
  <si>
    <t>Освоение
По результату освоения, КРС спуск ЭЦН.</t>
  </si>
  <si>
    <t>Ic_325</t>
  </si>
  <si>
    <t xml:space="preserve">100 м3 тех. воды + 30 м3 СКР 12% + продавка. ОРК 6 часов. </t>
  </si>
  <si>
    <t>ож ок бур</t>
  </si>
  <si>
    <t xml:space="preserve">Активации, СКО, Освоение
</t>
  </si>
  <si>
    <t>в бур</t>
  </si>
  <si>
    <t>Bt_503</t>
  </si>
  <si>
    <t>12.05.2026</t>
  </si>
  <si>
    <t>ож крс</t>
  </si>
  <si>
    <t>Bt_101</t>
  </si>
  <si>
    <t>31.12.2025</t>
  </si>
  <si>
    <t>КГРП 13 портов</t>
  </si>
  <si>
    <t>Vt_17905</t>
  </si>
  <si>
    <t>19.05.2026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</si>
</sst>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72"/>
      <color theme="1"/>
      <name val="Calibri"/>
      <family val="2"/>
      <scheme val="minor"/>
    </font>
    <font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0" xfId="0" applyNumberFormat="1" applyAlignment="1">
      <alignment horizontal="left" vertical="center"/>
    </xf>
    <xf numFmtId="0" fontId="0" fillId="0" borderId="0" xfId="0" applyNumberFormat="1" applyAlignment="1">
      <alignment horizontal="left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textRotation="90" wrapText="1"/>
    </xf>
    <xf numFmtId="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0" applyFont="1"/>
    <xf numFmtId="0" fontId="0" fillId="0" borderId="10" xfId="0" applyBorder="1"/>
    <xf numFmtId="0" fontId="0" fillId="3" borderId="10" xfId="0" applyFill="1" applyBorder="1"/>
    <xf numFmtId="0" fontId="0" fillId="3" borderId="0" xfId="0" applyNumberFormat="1" applyFill="1" applyAlignment="1">
      <alignment horizontal="center" vertical="center"/>
    </xf>
  </cellXfs>
  <cellStyles count="2">
    <cellStyle name="Обычный" xfId="0" builtinId="0"/>
    <cellStyle name="Обычный 2" xfId="1" xr:uid="{81E7E05E-9E11-4824-9009-01111FECE07B}"/>
  </cellStyles>
  <dxfs count="54">
    <dxf>
      <numFmt numFmtId="0" formatCode="General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border>
        <bottom style="thin">
          <color rgb="FFFF0000"/>
        </bottom>
        <vertical/>
        <horizontal/>
      </border>
    </dxf>
    <dxf>
      <border>
        <bottom style="thin">
          <color rgb="FFFF0000"/>
        </bottom>
        <vertical/>
        <horizontal/>
      </border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border>
        <bottom style="thin">
          <color rgb="FFFF0000"/>
        </bottom>
        <vertical/>
        <horizontal/>
      </border>
    </dxf>
    <dxf>
      <font>
        <b/>
        <i val="0"/>
      </font>
      <fill>
        <patternFill>
          <bgColor rgb="FF92D050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7" tint="0.79998168889431442"/>
        </patternFill>
      </fill>
    </dxf>
    <dxf>
      <border>
        <bottom style="thin">
          <color rgb="FFFF0000"/>
        </bottom>
        <vertical/>
        <horizontal/>
      </border>
    </dxf>
    <dxf>
      <font>
        <b/>
        <i val="0"/>
      </font>
      <fill>
        <patternFill>
          <bgColor rgb="FF92D050"/>
        </patternFill>
      </fill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fill>
        <patternFill patternType="solid">
          <fgColor rgb="FFFFFF00"/>
          <bgColor rgb="FF000000"/>
        </patternFill>
      </fill>
    </dxf>
    <dxf>
      <alignment horizontal="center" vertical="center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1" indent="0" justifyLastLine="0" shrinkToFit="0" readingOrder="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Стиль таблицы 1" defaultPivotStyle="PivotStyleLight16">
    <tableStyle name="Стиль таблицы 1" pivot="0" count="1" xr9:uid="{00000000-0011-0000-FFFF-FFFF00000000}">
      <tableStyleElement type="wholeTable" dxfId="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Ткачев Павел Леонидович" refreshedDate="46091.319914930558" createdVersion="7" refreshedVersion="7" minRefreshableVersion="3" recordCount="408" xr:uid="{00000000-000A-0000-FFFF-FFFF00000000}">
  <cacheSource type="worksheet">
    <worksheetSource name="График_ТКРС"/>
  </cacheSource>
  <cacheFields count="23">
    <cacheField name="Участок" numFmtId="0">
      <sharedItems/>
    </cacheField>
    <cacheField name="Бригада" numFmtId="0">
      <sharedItems/>
    </cacheField>
    <cacheField name="Наличие НЗ/ПР" numFmtId="0">
      <sharedItems containsBlank="1"/>
    </cacheField>
    <cacheField name="статус" numFmtId="0">
      <sharedItems containsBlank="1"/>
    </cacheField>
    <cacheField name="Скв" numFmtId="0">
      <sharedItems/>
    </cacheField>
    <cacheField name="Куст" numFmtId="0">
      <sharedItems containsString="0" containsBlank="1" containsNumber="1" containsInteger="1" minValue="1" maxValue="716"/>
    </cacheField>
    <cacheField name="дата начала (план)" numFmtId="14">
      <sharedItems containsSemiMixedTypes="0" containsNonDate="0" containsDate="1" containsString="0" minDate="2026-01-07T00:00:00" maxDate="2026-06-25T00:00:00"/>
    </cacheField>
    <cacheField name="дата  ГТМ" numFmtId="14">
      <sharedItems containsNonDate="0" containsDate="1" containsString="0" containsBlank="1" minDate="2026-03-01T00:00:00" maxDate="2026-04-01T00:00:00"/>
    </cacheField>
    <cacheField name="заверш рем (план)" numFmtId="14">
      <sharedItems containsSemiMixedTypes="0" containsNonDate="0" containsDate="1" containsString="0" minDate="2026-03-07T00:00:00" maxDate="2026-07-01T00:00:00"/>
    </cacheField>
    <cacheField name="Дн. + актировка с 01.12-15.03 (формула) " numFmtId="0">
      <sharedItems containsSemiMixedTypes="0" containsString="0" containsNumber="1" containsInteger="1" minValue="0" maxValue="70"/>
    </cacheField>
    <cacheField name="Метео" numFmtId="0">
      <sharedItems containsSemiMixedTypes="0" containsString="0" containsNumber="1" containsInteger="1" minValue="0" maxValue="12"/>
    </cacheField>
    <cacheField name="Продолжительность" numFmtId="0">
      <sharedItems containsSemiMixedTypes="0" containsString="0" containsNumber="1" containsInteger="1" minValue="12" maxValue="1728"/>
    </cacheField>
    <cacheField name="Qж/Qг, м3/сут" numFmtId="0">
      <sharedItems containsString="0" containsBlank="1" containsNumber="1" containsInteger="1" minValue="0" maxValue="1678000"/>
    </cacheField>
    <cacheField name="Н2О, %" numFmtId="0">
      <sharedItems containsString="0" containsBlank="1" containsNumber="1" containsInteger="1" minValue="0" maxValue="98"/>
    </cacheField>
    <cacheField name="Qн, тн/сут" numFmtId="0">
      <sharedItems containsString="0" containsBlank="1" containsNumber="1" containsInteger="1" minValue="0" maxValue="469"/>
    </cacheField>
    <cacheField name="ГФ, м3/м3" numFmtId="0">
      <sharedItems containsString="0" containsBlank="1" containsNumber="1" containsInteger="1" minValue="0" maxValue="165800"/>
    </cacheField>
    <cacheField name="вид КР" numFmtId="0">
      <sharedItems/>
    </cacheField>
    <cacheField name="Планируемый объем работ" numFmtId="0">
      <sharedItems/>
    </cacheField>
    <cacheField name="Дата выхода их бурения" numFmtId="0">
      <sharedItems/>
    </cacheField>
    <cacheField name="начГРП" numFmtId="14">
      <sharedItems containsNonDate="0" containsDate="1" containsString="0" containsBlank="1" minDate="2026-03-13T00:00:00" maxDate="2026-06-25T00:00:00"/>
    </cacheField>
    <cacheField name="стадий ГРП" numFmtId="0">
      <sharedItems containsString="0" containsBlank="1" containsNumber="1" containsInteger="1" minValue="1" maxValue="12"/>
    </cacheField>
    <cacheField name="заверш ГРП" numFmtId="14">
      <sharedItems containsNonDate="0" containsDate="1" containsString="0" containsBlank="1" minDate="2026-01-03T00:00:00" maxDate="2026-06-27T00:00:00"/>
    </cacheField>
    <cacheField name="Приоритет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8">
  <r>
    <s v="2"/>
    <s v="1 КРС ООО &quot;ИНК-ТКРС&quot;"/>
    <s v="готов"/>
    <s v="выполняется"/>
    <s v="Vt_5710"/>
    <n v="57"/>
    <d v="2026-02-02T00:00:00"/>
    <m/>
    <d v="2026-03-12T00:00:00"/>
    <n v="26"/>
    <n v="12"/>
    <n v="912"/>
    <n v="635"/>
    <n v="77"/>
    <n v="120"/>
    <n v="270"/>
    <s v="КР13-2"/>
    <s v="разбуривание портов и ОПЗ_x000a_не закачали ОПЗ, пошли на подъем ЭЦН (без опз не достаточный потенциал) + для проведения ОПЗ"/>
    <s v="-"/>
    <m/>
    <m/>
    <m/>
    <s v="-"/>
  </r>
  <r>
    <s v="2"/>
    <s v="1 КРС ООО &quot;ИНК-ТКРС&quot;"/>
    <m/>
    <s v="ож эцн"/>
    <s v="Vt_4403"/>
    <n v="44"/>
    <d v="2026-03-12T00:00:00"/>
    <d v="2026-03-09T00:00:00"/>
    <d v="2026-03-20T00:00:00"/>
    <n v="8"/>
    <n v="0"/>
    <n v="192"/>
    <n v="100"/>
    <n v="31"/>
    <n v="57"/>
    <n v="712"/>
    <s v="ТР5-1"/>
    <s v="Смена ЭЦН на отказной скважине"/>
    <s v="-"/>
    <m/>
    <m/>
    <m/>
    <s v="нет в перечне"/>
  </r>
  <r>
    <s v="2"/>
    <s v="1 КРС ООО &quot;ИНК-ТКРС&quot;"/>
    <m/>
    <m/>
    <s v="Vt_5001вз"/>
    <n v="50"/>
    <d v="2026-03-20T00:00:00"/>
    <d v="2026-03-07T00:00:00"/>
    <d v="2026-03-22T00:00:00"/>
    <n v="2"/>
    <n v="0"/>
    <n v="48"/>
    <n v="660"/>
    <n v="0"/>
    <n v="0"/>
    <n v="100"/>
    <s v="ТР8-1"/>
    <s v="извлечение ЭЦН"/>
    <s v="-"/>
    <m/>
    <m/>
    <m/>
    <s v="нет в перечне"/>
  </r>
  <r>
    <s v="2"/>
    <s v="1 КРС ООО &quot;ИНК-ТКРС&quot;"/>
    <m/>
    <m/>
    <s v="Vt_б/н"/>
    <m/>
    <d v="2026-03-22T00:00:00"/>
    <m/>
    <d v="2026-03-30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1 КРС ООО &quot;ИНК-ТКРС&quot;"/>
    <m/>
    <s v="ож эцн"/>
    <s v="Vt_035г"/>
    <n v="35"/>
    <d v="2026-03-30T00:00:00"/>
    <m/>
    <d v="2026-04-03T00:00:00"/>
    <n v="4"/>
    <n v="0"/>
    <n v="96"/>
    <n v="0"/>
    <n v="0"/>
    <n v="0"/>
    <m/>
    <s v="ТР8-1"/>
    <s v="Смена ЭЦВ на ЭЦН"/>
    <s v="-"/>
    <m/>
    <m/>
    <m/>
    <s v="нет в перечне"/>
  </r>
  <r>
    <s v="1"/>
    <s v="1 КРС ООО &quot;ИНК-ТКРС&quot;"/>
    <m/>
    <m/>
    <s v="Ya_б/н"/>
    <m/>
    <d v="2026-04-03T00:00:00"/>
    <m/>
    <d v="2026-04-1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 КРС ООО &quot;ИНК-ТКРС&quot;"/>
    <m/>
    <m/>
    <s v="Ya_812"/>
    <n v="219"/>
    <d v="2026-04-11T00:00:00"/>
    <m/>
    <d v="2026-04-21T00:00:00"/>
    <n v="10"/>
    <n v="0"/>
    <n v="240"/>
    <n v="0"/>
    <n v="0"/>
    <n v="0"/>
    <n v="0"/>
    <s v="ТР6-1"/>
    <s v="Прочие ГТМ ППД ГАЗ"/>
    <s v="-"/>
    <m/>
    <m/>
    <m/>
    <s v="низкий"/>
  </r>
  <r>
    <s v="1"/>
    <s v="1 КРС ООО &quot;ИНК-ТКРС&quot;"/>
    <m/>
    <m/>
    <s v="Ya_888"/>
    <n v="222"/>
    <d v="2026-04-21T00:00:00"/>
    <m/>
    <d v="2026-05-05T00:00:00"/>
    <n v="14"/>
    <n v="0"/>
    <n v="336"/>
    <n v="100000"/>
    <n v="0"/>
    <n v="39"/>
    <n v="0"/>
    <s v="КР-ОС-4"/>
    <s v="ВНС с МГРП ГАЗ"/>
    <s v="-"/>
    <m/>
    <m/>
    <m/>
    <s v="низкий"/>
  </r>
  <r>
    <s v="1"/>
    <s v="1 КРС ООО &quot;ИНК-ТКРС&quot;"/>
    <m/>
    <s v="ож эцн"/>
    <s v="Am_220"/>
    <n v="1"/>
    <d v="2026-05-05T00:00:00"/>
    <m/>
    <d v="2026-05-13T00:00:00"/>
    <n v="8"/>
    <n v="0"/>
    <n v="192"/>
    <n v="12"/>
    <n v="10"/>
    <n v="9"/>
    <n v="1032"/>
    <s v="ТР5-1"/>
    <s v="до постановки бригады установить антиприхват_x000a_Смена ЭЦН на отказной скважине"/>
    <s v="-"/>
    <m/>
    <m/>
    <m/>
    <s v="низкий"/>
  </r>
  <r>
    <s v="1"/>
    <s v="1 КРС ООО &quot;ИНК-ТКРС&quot;"/>
    <m/>
    <m/>
    <s v="Ya_б/н"/>
    <m/>
    <d v="2026-05-13T00:00:00"/>
    <m/>
    <d v="2026-05-2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 КРС ООО &quot;ИНК-ТКРС&quot;"/>
    <m/>
    <m/>
    <s v="Am_235"/>
    <n v="1"/>
    <d v="2026-05-21T00:00:00"/>
    <m/>
    <d v="2026-05-29T00:00:00"/>
    <n v="8"/>
    <n v="0"/>
    <n v="192"/>
    <n v="125"/>
    <n v="93"/>
    <n v="7"/>
    <n v="0"/>
    <s v="ТР5-1"/>
    <s v="смена ЭЦН, ОТЗ, НЗ + ОПЗ"/>
    <s v="-"/>
    <m/>
    <m/>
    <m/>
    <s v="За рамками 3-месяцев"/>
  </r>
  <r>
    <s v="1"/>
    <s v="1 КРС ООО &quot;ИНК-ТКРС&quot;"/>
    <m/>
    <m/>
    <s v="Az_451"/>
    <m/>
    <d v="2026-05-29T00:00:00"/>
    <m/>
    <d v="2026-06-06T00:00:00"/>
    <n v="8"/>
    <n v="0"/>
    <n v="192"/>
    <n v="35"/>
    <n v="90"/>
    <n v="3"/>
    <n v="1108"/>
    <s v="КР11-1"/>
    <s v="консервация с ЦМ"/>
    <s v="-"/>
    <m/>
    <m/>
    <m/>
    <s v="низкий"/>
  </r>
  <r>
    <s v="1"/>
    <s v="1 КРС ООО &quot;ИНК-ТКРС&quot;"/>
    <m/>
    <m/>
    <s v="Ya_838"/>
    <n v="214"/>
    <d v="2026-06-06T00:00:00"/>
    <m/>
    <d v="2026-06-16T00:00:00"/>
    <n v="10"/>
    <n v="0"/>
    <n v="240"/>
    <n v="100"/>
    <n v="0"/>
    <n v="0"/>
    <n v="199"/>
    <s v="КР7-2"/>
    <s v="ПР к ГРП"/>
    <s v="-"/>
    <d v="2026-06-24T00:00:00"/>
    <n v="1"/>
    <d v="2026-06-26T00:00:00"/>
    <s v="нет в перечне"/>
  </r>
  <r>
    <s v="1"/>
    <s v="1 КРС ООО &quot;ИНК-ТКРС&quot;"/>
    <m/>
    <s v="ож эцн"/>
    <s v="Am_221"/>
    <n v="1"/>
    <d v="2026-06-16T00:00:00"/>
    <m/>
    <d v="2026-06-24T00:00:00"/>
    <n v="8"/>
    <n v="0"/>
    <n v="192"/>
    <n v="38"/>
    <n v="83"/>
    <n v="5"/>
    <n v="1636"/>
    <s v="ТР5-1"/>
    <s v="Смена ЭЦН на отказной скважине"/>
    <s v="-"/>
    <m/>
    <m/>
    <m/>
    <s v="За рамками 3-месяцев"/>
  </r>
  <r>
    <s v="1"/>
    <s v="1 КРС ООО &quot;ИНК-ТКРС&quot;"/>
    <m/>
    <m/>
    <s v="Ya_5кпг"/>
    <n v="5"/>
    <d v="2026-06-24T00:00:00"/>
    <m/>
    <d v="2026-06-25T00:00:00"/>
    <n v="1"/>
    <n v="0"/>
    <n v="24"/>
    <n v="200"/>
    <n v="0"/>
    <n v="0"/>
    <n v="0"/>
    <s v="ТР8-1"/>
    <s v="ОТЗ, НЗ, Шаблонировка ЭК, спуск ЭЦН"/>
    <s v="-"/>
    <m/>
    <m/>
    <m/>
    <s v="нет в перечне"/>
  </r>
  <r>
    <s v="1"/>
    <s v="2 КРС ООО &quot;ИНК-ТКРС&quot;"/>
    <s v="готов"/>
    <s v="выполняется"/>
    <s v="Vt_8407"/>
    <n v="84"/>
    <d v="2026-03-04T00:00:00"/>
    <d v="2026-03-04T00:00:00"/>
    <d v="2026-03-14T00:00:00"/>
    <n v="10"/>
    <n v="0"/>
    <n v="240"/>
    <n v="238"/>
    <n v="76"/>
    <n v="44"/>
    <n v="810"/>
    <s v="КР7-1"/>
    <s v="смена эцн + нз + опз"/>
    <s v="-"/>
    <m/>
    <m/>
    <m/>
    <s v="Высокий"/>
  </r>
  <r>
    <s v="1"/>
    <s v="2 КРС ООО &quot;ИНК-ТКРС&quot;"/>
    <s v="нз нет"/>
    <m/>
    <s v="Vt_8405"/>
    <n v="84"/>
    <d v="2026-03-14T00:00:00"/>
    <d v="2026-03-12T00:00:00"/>
    <d v="2026-04-13T00:00:00"/>
    <n v="30"/>
    <n v="0"/>
    <n v="720"/>
    <n v="200"/>
    <n v="15"/>
    <n v="139"/>
    <n v="339"/>
    <s v="КР3-1"/>
    <s v="полет ЭЦН на ВНР"/>
    <s v="-"/>
    <m/>
    <m/>
    <m/>
    <s v="Высокий"/>
  </r>
  <r>
    <s v="1"/>
    <s v="2 КРС ООО &quot;ИНК-ТКРС&quot;"/>
    <m/>
    <s v="ож эцн"/>
    <s v="Ic_375"/>
    <n v="9"/>
    <d v="2026-04-13T00:00:00"/>
    <m/>
    <d v="2026-05-13T00:00:00"/>
    <n v="30"/>
    <n v="0"/>
    <n v="720"/>
    <n v="86"/>
    <n v="54"/>
    <n v="32"/>
    <n v="155"/>
    <s v="КР3-1"/>
    <s v="ЛА при смене"/>
    <s v="-"/>
    <m/>
    <m/>
    <m/>
    <s v="Средний"/>
  </r>
  <r>
    <s v="1"/>
    <s v="2 КРС ООО &quot;ИНК-ТКРС&quot;"/>
    <m/>
    <m/>
    <s v="Vt_б/н"/>
    <m/>
    <d v="2026-05-13T00:00:00"/>
    <m/>
    <d v="2026-05-2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 КРС ООО &quot;ИНК-ТКРС&quot;"/>
    <s v="готов"/>
    <s v="выполняется"/>
    <s v="Vt_8710"/>
    <n v="87"/>
    <d v="2026-02-17T00:00:00"/>
    <m/>
    <d v="2026-03-17T00:00:00"/>
    <n v="23"/>
    <n v="5"/>
    <n v="672"/>
    <n v="243"/>
    <n v="40"/>
    <n v="103"/>
    <n v="815"/>
    <s v="КР13-2"/>
    <s v="разбуривание фрезом 95 мм муфт ГРП, башмака ОК-114 до провала в открытый ствол, ОПЗ на пакере, спуск ЭЦН"/>
    <s v="-"/>
    <m/>
    <m/>
    <m/>
    <s v="-"/>
  </r>
  <r>
    <s v="2"/>
    <s v="3 КРС ООО &quot;ИНК-ТКРС&quot;"/>
    <s v="пр нет"/>
    <s v="ож эцн _x000a_ож гнкт"/>
    <s v="Vt_8709"/>
    <n v="87"/>
    <d v="2026-03-17T00:00:00"/>
    <d v="2026-03-16T00:00:00"/>
    <d v="2026-03-31T00:00:00"/>
    <n v="14"/>
    <n v="0"/>
    <n v="336"/>
    <n v="420"/>
    <n v="72"/>
    <n v="96"/>
    <n v="0"/>
    <s v="КР1-2.1"/>
    <s v="РИР. Закрытие муфт ГРП"/>
    <s v="-"/>
    <m/>
    <m/>
    <m/>
    <s v="Высокий"/>
  </r>
  <r>
    <s v="2"/>
    <s v="3 КРС ООО &quot;ИНК-ТКРС&quot;"/>
    <m/>
    <s v="ож нкт"/>
    <s v="Bt_101"/>
    <n v="5"/>
    <d v="2026-03-31T00:00:00"/>
    <m/>
    <d v="2026-04-10T00:00:00"/>
    <n v="10"/>
    <n v="0"/>
    <n v="240"/>
    <n v="257"/>
    <n v="1"/>
    <n v="205"/>
    <n v="320"/>
    <s v="КР-ОС-5"/>
    <s v="спуск УГРП-114, для проведения КГРП_x000a_"/>
    <s v="29.12.2025"/>
    <m/>
    <m/>
    <m/>
    <s v="Высокий"/>
  </r>
  <r>
    <s v="2"/>
    <s v="3 КРС ООО &quot;ИНК-ТКРС&quot;"/>
    <s v="готов"/>
    <m/>
    <s v="Vt_5110"/>
    <n v="51"/>
    <d v="2026-04-10T00:00:00"/>
    <d v="2026-03-30T00:00:00"/>
    <d v="2026-04-20T00:00:00"/>
    <n v="10"/>
    <n v="0"/>
    <n v="240"/>
    <n v="1000"/>
    <n v="0"/>
    <n v="0"/>
    <n v="0"/>
    <s v="КР4-1"/>
    <s v="Проведение ПВЛГ на ордовик. Спуск ЭЦН. После запуска Vt_051г."/>
    <s v="-"/>
    <m/>
    <m/>
    <m/>
    <s v="Средний"/>
  </r>
  <r>
    <s v="2"/>
    <s v="3 КРС ООО &quot;ИНК-ТКРС&quot;"/>
    <m/>
    <m/>
    <s v="Vt_8409"/>
    <n v="84"/>
    <d v="2026-04-20T00:00:00"/>
    <m/>
    <d v="2026-04-30T00:00:00"/>
    <n v="10"/>
    <n v="0"/>
    <n v="240"/>
    <n v="241"/>
    <n v="49"/>
    <n v="101"/>
    <n v="671"/>
    <s v="КР9-1"/>
    <s v="Подъем ЭЦН, спуск пакера ППД."/>
    <s v="-"/>
    <m/>
    <m/>
    <m/>
    <s v="-"/>
  </r>
  <r>
    <s v="2"/>
    <s v="3 КРС ООО &quot;ИНК-ТКРС&quot;"/>
    <m/>
    <m/>
    <s v="Vt_8407"/>
    <n v="84"/>
    <d v="2026-04-30T00:00:00"/>
    <d v="2026-03-04T00:00:00"/>
    <d v="2026-05-10T00:00:00"/>
    <n v="10"/>
    <n v="0"/>
    <n v="240"/>
    <n v="238"/>
    <n v="76"/>
    <n v="47"/>
    <n v="810"/>
    <s v="КР9-1"/>
    <s v="Перевод в  ППД."/>
    <s v="-"/>
    <m/>
    <m/>
    <m/>
    <s v="Высокий"/>
  </r>
  <r>
    <s v="2"/>
    <s v="3 КРС ООО &quot;ИНК-ТКРС&quot;"/>
    <m/>
    <s v="ож эцн"/>
    <s v="Vt_17703"/>
    <n v="177"/>
    <d v="2026-05-10T00:00:00"/>
    <m/>
    <d v="2026-05-18T00:00:00"/>
    <n v="8"/>
    <n v="0"/>
    <n v="192"/>
    <n v="53"/>
    <n v="50"/>
    <n v="22"/>
    <n v="320"/>
    <s v="КР-ОС-1"/>
    <s v="спуск ЭЦН _x000a_"/>
    <s v="02.10.2025"/>
    <m/>
    <m/>
    <m/>
    <s v="Средний"/>
  </r>
  <r>
    <s v="2"/>
    <s v="3 КРС ООО &quot;ИНК-ТКРС&quot;"/>
    <m/>
    <m/>
    <s v="Vt_б/н"/>
    <m/>
    <d v="2026-05-18T00:00:00"/>
    <m/>
    <d v="2026-05-26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 КРС ООО &quot;ИНК-ТКРС&quot;"/>
    <m/>
    <m/>
    <s v="Vt_17001"/>
    <n v="170"/>
    <d v="2026-05-26T00:00:00"/>
    <m/>
    <d v="2026-06-03T00:00:00"/>
    <n v="8"/>
    <n v="0"/>
    <n v="192"/>
    <n v="0"/>
    <n v="0"/>
    <n v="0"/>
    <m/>
    <s v="КР-ОС-1"/>
    <s v="ПМД"/>
    <s v="-"/>
    <m/>
    <m/>
    <m/>
    <s v="нет в перечне"/>
  </r>
  <r>
    <s v="2"/>
    <s v="3 КРС ООО &quot;ИНК-ТКРС&quot;"/>
    <m/>
    <m/>
    <s v="Vt_056вз"/>
    <n v="56"/>
    <d v="2026-06-03T00:00:00"/>
    <m/>
    <d v="2026-06-08T00:00:00"/>
    <n v="5"/>
    <n v="0"/>
    <n v="120"/>
    <n v="800"/>
    <n v="0"/>
    <n v="0"/>
    <n v="0"/>
    <s v="КР9-1"/>
    <s v="Извлечение ЭЦН, спуск пакера"/>
    <s v="-"/>
    <m/>
    <m/>
    <m/>
    <s v="Средний"/>
  </r>
  <r>
    <s v="2"/>
    <s v="3 КРС ООО &quot;ИНК-ТКРС&quot;"/>
    <m/>
    <m/>
    <s v="Vt_8411"/>
    <n v="84"/>
    <d v="2026-06-08T00:00:00"/>
    <m/>
    <d v="2026-06-18T00:00:00"/>
    <n v="10"/>
    <n v="0"/>
    <n v="240"/>
    <n v="200"/>
    <n v="71"/>
    <n v="48"/>
    <n v="226"/>
    <s v="ТР3-2"/>
    <s v="оптимизация при отказе"/>
    <s v="-"/>
    <m/>
    <m/>
    <m/>
    <s v="нет в перечне"/>
  </r>
  <r>
    <s v="2"/>
    <s v="3 КРС ООО &quot;ИНК-ТКРС&quot;"/>
    <m/>
    <m/>
    <s v="Vt_8404г"/>
    <m/>
    <d v="2026-06-18T00:00:00"/>
    <m/>
    <d v="2026-06-20T00:00:00"/>
    <n v="2"/>
    <n v="0"/>
    <n v="48"/>
    <n v="0"/>
    <n v="0"/>
    <n v="0"/>
    <m/>
    <s v="ТР8-1"/>
    <s v="спуск эцн_x000a_"/>
    <s v="-"/>
    <m/>
    <m/>
    <m/>
    <s v="нет в перечне"/>
  </r>
  <r>
    <s v="2"/>
    <s v="3 КРС ООО &quot;ИНК-ТКРС&quot;"/>
    <m/>
    <m/>
    <s v="Vt_9102"/>
    <n v="91"/>
    <d v="2026-06-20T00:00:00"/>
    <m/>
    <d v="2026-06-30T00:00:00"/>
    <n v="10"/>
    <n v="0"/>
    <n v="240"/>
    <n v="244"/>
    <n v="10"/>
    <n v="180"/>
    <n v="0"/>
    <s v="ТР3-2"/>
    <s v="оптимизация при отказе"/>
    <s v="-"/>
    <m/>
    <m/>
    <m/>
    <s v="низкий"/>
  </r>
  <r>
    <s v="2"/>
    <s v="4 КРС ООО &quot;ИНК-ТКРС&quot;"/>
    <s v="готов"/>
    <s v="выполняется"/>
    <s v="Vt_8409"/>
    <n v="84"/>
    <d v="2026-02-01T00:00:00"/>
    <m/>
    <d v="2026-03-20T00:00:00"/>
    <n v="37"/>
    <n v="10"/>
    <n v="1128"/>
    <n v="241"/>
    <n v="49"/>
    <n v="121"/>
    <n v="671"/>
    <s v="КР3-1"/>
    <s v="Полет ЭЦ на отказной скважине"/>
    <s v="-"/>
    <m/>
    <m/>
    <m/>
    <s v="-"/>
  </r>
  <r>
    <s v="2"/>
    <s v="4 КРС ООО &quot;ИНК-ТКРС&quot;"/>
    <s v="нз нет"/>
    <s v="ож эцн"/>
    <s v="Vt_084г"/>
    <n v="84"/>
    <d v="2026-03-20T00:00:00"/>
    <d v="2026-03-11T00:00:00"/>
    <d v="2026-04-03T00:00:00"/>
    <n v="14"/>
    <n v="0"/>
    <n v="336"/>
    <n v="500"/>
    <n v="0"/>
    <n v="0"/>
    <n v="0"/>
    <s v="КР-ОС-7"/>
    <s v="нужна бригада со столом ротора. извлечение ЭЦВ и извлечение ЭК  с аварийным  ЭЦВ+ углубление забой,  для подготовки устья"/>
    <s v="-"/>
    <m/>
    <m/>
    <m/>
    <s v="Высокий"/>
  </r>
  <r>
    <s v="2"/>
    <s v="4 КРС ООО &quot;ИНК-ТКРС&quot;"/>
    <m/>
    <m/>
    <s v="Vt_4605"/>
    <n v="46"/>
    <d v="2026-04-03T00:00:00"/>
    <d v="2026-03-25T00:00:00"/>
    <d v="2026-04-17T00:00:00"/>
    <n v="14"/>
    <n v="0"/>
    <n v="336"/>
    <n v="300"/>
    <n v="0"/>
    <n v="0"/>
    <n v="0"/>
    <s v="КР7-2"/>
    <s v="ПР к  ГРП по результам ГНКТ"/>
    <s v="-"/>
    <d v="2026-04-17T00:00:00"/>
    <n v="1"/>
    <d v="2026-04-19T00:00:00"/>
    <s v="Высокий"/>
  </r>
  <r>
    <s v="2"/>
    <s v="4 КРС ООО &quot;ИНК-ТКРС&quot;"/>
    <m/>
    <m/>
    <s v="Vt_б/н"/>
    <m/>
    <d v="2026-04-17T00:00:00"/>
    <m/>
    <d v="2026-04-25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4 КРС ООО &quot;ИНК-ТКРС&quot;"/>
    <m/>
    <m/>
    <s v="Vt_б/н"/>
    <m/>
    <d v="2026-04-25T00:00:00"/>
    <m/>
    <d v="2026-05-03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4 КРС ООО &quot;ИНК-ТКРС&quot;"/>
    <m/>
    <m/>
    <s v="Vt_4608"/>
    <n v="46"/>
    <d v="2026-05-03T00:00:00"/>
    <m/>
    <d v="2026-05-13T00:00:00"/>
    <n v="10"/>
    <n v="0"/>
    <n v="240"/>
    <n v="800"/>
    <n v="0"/>
    <n v="0"/>
    <n v="0"/>
    <s v="КР9-1"/>
    <s v="Подъем ЭЦН, спуск пакера ППД"/>
    <s v="-"/>
    <m/>
    <m/>
    <m/>
    <s v="Средний"/>
  </r>
  <r>
    <s v="2"/>
    <s v="4 КРС ООО &quot;ИНК-ТКРС&quot;"/>
    <m/>
    <s v="ож подгот_x000a_ож эцн"/>
    <s v="Vt_3401"/>
    <n v="34"/>
    <d v="2026-05-13T00:00:00"/>
    <m/>
    <d v="2026-05-21T00:00:00"/>
    <n v="8"/>
    <n v="0"/>
    <n v="192"/>
    <n v="100"/>
    <n v="60"/>
    <n v="32"/>
    <n v="350"/>
    <s v="ТР5-1"/>
    <s v="Смена ЭЦН на отказной скважине"/>
    <s v="31.10.2022"/>
    <m/>
    <m/>
    <m/>
    <s v="за рамками трех месяцев"/>
  </r>
  <r>
    <s v="2"/>
    <s v="4 КРС ООО &quot;ИНК-ТКРС&quot;"/>
    <m/>
    <s v="ож подгот"/>
    <s v="Vt_3403"/>
    <n v="34"/>
    <d v="2026-05-21T00:00:00"/>
    <m/>
    <d v="2026-05-29T00:00:00"/>
    <n v="8"/>
    <n v="0"/>
    <n v="192"/>
    <n v="95"/>
    <n v="78"/>
    <n v="17"/>
    <n v="283"/>
    <s v="ТР5-1"/>
    <s v="Смена ЭЦН на отказной скважине"/>
    <s v="-"/>
    <m/>
    <m/>
    <m/>
    <s v="за рамками трех месяцев"/>
  </r>
  <r>
    <s v="2"/>
    <s v="5 КРС ООО &quot;ИНК-ТКРС&quot;"/>
    <s v="готов"/>
    <s v="выполняется"/>
    <s v="Vt_5005"/>
    <n v="50"/>
    <d v="2026-02-18T00:00:00"/>
    <m/>
    <d v="2026-03-07T00:00:00"/>
    <n v="12"/>
    <n v="5"/>
    <n v="408"/>
    <n v="155"/>
    <n v="50"/>
    <n v="63"/>
    <n v="673"/>
    <s v="ТР5-1"/>
    <s v="Смена ЭЦН на отказной скважине"/>
    <s v="-"/>
    <m/>
    <m/>
    <m/>
    <s v="-"/>
  </r>
  <r>
    <s v="2"/>
    <s v="5 КРС ООО &quot;ИНК-ТКРС&quot;"/>
    <s v="готов"/>
    <m/>
    <s v="Vt_9501"/>
    <n v="95"/>
    <d v="2026-03-07T00:00:00"/>
    <d v="2026-03-07T00:00:00"/>
    <d v="2026-03-13T00:00:00"/>
    <n v="6"/>
    <n v="0"/>
    <n v="144"/>
    <n v="0"/>
    <n v="0"/>
    <n v="0"/>
    <n v="320"/>
    <s v="КР-ОС-8"/>
    <s v="извлечение НКТ-114, спуск воронки"/>
    <s v="12.04.2025"/>
    <m/>
    <m/>
    <m/>
    <s v="Средний"/>
  </r>
  <r>
    <s v="2"/>
    <s v="5 КРС ООО &quot;ИНК-ТКРС&quot;"/>
    <m/>
    <m/>
    <s v="Vt_9502"/>
    <n v="95"/>
    <d v="2026-03-13T00:00:00"/>
    <d v="2026-03-13T00:00:00"/>
    <d v="2026-03-19T00:00:00"/>
    <n v="6"/>
    <n v="0"/>
    <n v="144"/>
    <n v="0"/>
    <n v="0"/>
    <n v="0"/>
    <m/>
    <s v="КР-ОС-8"/>
    <s v="извлечение НКТ-114, спуск воронки"/>
    <s v="-"/>
    <m/>
    <m/>
    <m/>
    <s v="нет в перечне"/>
  </r>
  <r>
    <s v="2"/>
    <s v="5 КРС ООО &quot;ИНК-ТКРС&quot;"/>
    <m/>
    <m/>
    <s v="Vt_9503"/>
    <n v="95"/>
    <d v="2026-03-19T00:00:00"/>
    <d v="2026-03-19T00:00:00"/>
    <d v="2026-03-25T00:00:00"/>
    <n v="6"/>
    <n v="0"/>
    <n v="144"/>
    <n v="0"/>
    <n v="0"/>
    <n v="0"/>
    <m/>
    <s v="КР-ОС-8"/>
    <s v="извлечение НКТ-114, спуск воронки"/>
    <s v="13.06.2025"/>
    <m/>
    <m/>
    <m/>
    <s v="Средний"/>
  </r>
  <r>
    <s v="2"/>
    <s v="5 КРС ООО &quot;ИНК-ТКРС&quot;"/>
    <m/>
    <m/>
    <s v="Vt_9504"/>
    <n v="95"/>
    <d v="2026-03-25T00:00:00"/>
    <d v="2026-03-25T00:00:00"/>
    <d v="2026-03-31T00:00:00"/>
    <n v="6"/>
    <n v="0"/>
    <n v="144"/>
    <n v="0"/>
    <n v="0"/>
    <n v="0"/>
    <m/>
    <s v="КР-ОС-8"/>
    <s v="извлечение НКТ-114, спуск воронки"/>
    <s v="18.07.2025"/>
    <m/>
    <m/>
    <m/>
    <s v="Средний"/>
  </r>
  <r>
    <s v="2"/>
    <s v="5 КРС ООО &quot;ИНК-ТКРС&quot;"/>
    <s v="готов"/>
    <s v="ож эцн"/>
    <s v="Vt_084г"/>
    <n v="84"/>
    <d v="2026-03-31T00:00:00"/>
    <d v="2026-03-11T00:00:00"/>
    <d v="2026-04-02T00:00:00"/>
    <n v="2"/>
    <n v="0"/>
    <n v="48"/>
    <n v="500"/>
    <n v="0"/>
    <n v="0"/>
    <n v="0"/>
    <s v="КР-ОС-7"/>
    <s v="спуск ЭЦН после  подготовки устья_x000a_"/>
    <s v="-"/>
    <m/>
    <m/>
    <m/>
    <s v="Высокий"/>
  </r>
  <r>
    <s v="2"/>
    <s v="5 КРС ООО &quot;ИНК-ТКРС&quot;"/>
    <m/>
    <m/>
    <s v="Vt_8420вз"/>
    <n v="84"/>
    <d v="2026-04-02T00:00:00"/>
    <m/>
    <d v="2026-04-06T00:00:00"/>
    <n v="4"/>
    <n v="0"/>
    <n v="96"/>
    <n v="1200"/>
    <n v="0"/>
    <n v="0"/>
    <n v="0"/>
    <s v="ТР8-1"/>
    <s v="оптимизация"/>
    <s v="-"/>
    <m/>
    <m/>
    <m/>
    <s v="Высокий"/>
  </r>
  <r>
    <s v="2"/>
    <s v="5 КРС ООО &quot;ИНК-ТКРС&quot;"/>
    <s v="готов"/>
    <m/>
    <s v="Ic_393"/>
    <n v="22"/>
    <d v="2026-04-06T00:00:00"/>
    <m/>
    <d v="2026-04-12T00:00:00"/>
    <n v="6"/>
    <n v="0"/>
    <n v="144"/>
    <n v="7"/>
    <n v="6"/>
    <n v="5"/>
    <n v="207"/>
    <s v="ТР11-1"/>
    <s v="извлечение ЭЦН"/>
    <s v="-"/>
    <m/>
    <m/>
    <m/>
    <s v="нет в перечне"/>
  </r>
  <r>
    <s v="2"/>
    <s v="5 КРС ООО &quot;ИНК-ТКРС&quot;"/>
    <m/>
    <m/>
    <s v="Vt_б/н"/>
    <m/>
    <d v="2026-04-12T00:00:00"/>
    <m/>
    <d v="2026-04-20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5 КРС ООО &quot;ИНК-ТКРС&quot;"/>
    <m/>
    <m/>
    <s v="Vt_б/н"/>
    <m/>
    <d v="2026-04-20T00:00:00"/>
    <m/>
    <d v="2026-04-23T00:00:00"/>
    <n v="3"/>
    <n v="0"/>
    <n v="72"/>
    <n v="0"/>
    <n v="0"/>
    <n v="0"/>
    <m/>
    <s v="ТР14-1.2"/>
    <s v="смена ЭЦН на отказной скважине с доп работами"/>
    <s v="-"/>
    <m/>
    <m/>
    <m/>
    <s v="нет в перечне"/>
  </r>
  <r>
    <s v="2"/>
    <s v="5 КРС ООО &quot;ИНК-ТКРС&quot;"/>
    <m/>
    <m/>
    <s v="Ic_401"/>
    <n v="7"/>
    <d v="2026-04-23T00:00:00"/>
    <m/>
    <d v="2026-05-07T00:00:00"/>
    <n v="14"/>
    <n v="0"/>
    <n v="336"/>
    <n v="106"/>
    <n v="66"/>
    <n v="30"/>
    <n v="239"/>
    <s v="КР13-1.1"/>
    <s v="КОПС извлечение аварийного скребка каскад "/>
    <s v="-"/>
    <m/>
    <m/>
    <m/>
    <s v="Средний"/>
  </r>
  <r>
    <s v="2"/>
    <s v="5 КРС ООО &quot;ИНК-ТКРС&quot;"/>
    <m/>
    <m/>
    <s v="Vt_33310"/>
    <n v="333"/>
    <d v="2026-05-07T00:00:00"/>
    <m/>
    <d v="2026-05-15T00:00:00"/>
    <n v="8"/>
    <n v="0"/>
    <n v="192"/>
    <n v="0"/>
    <n v="0"/>
    <n v="0"/>
    <n v="320"/>
    <s v="КР9-1"/>
    <s v="Подъем ЭЦН, спуск пакера ППД"/>
    <s v="25.02.2026"/>
    <m/>
    <m/>
    <m/>
    <s v="Средний"/>
  </r>
  <r>
    <s v="2"/>
    <s v="5 КРС ООО &quot;ИНК-ТКРС&quot;"/>
    <m/>
    <s v="ож эцн"/>
    <s v="Vt_4401"/>
    <n v="44"/>
    <d v="2026-05-15T00:00:00"/>
    <m/>
    <d v="2026-05-23T00:00:00"/>
    <n v="8"/>
    <n v="0"/>
    <n v="192"/>
    <n v="689"/>
    <n v="79"/>
    <n v="119"/>
    <n v="437"/>
    <s v="ТР3-2"/>
    <s v="оптимизация"/>
    <s v="-"/>
    <m/>
    <m/>
    <m/>
    <s v="Средний"/>
  </r>
  <r>
    <s v="2"/>
    <s v="5 КРС ООО &quot;ИНК-ТКРС&quot;"/>
    <m/>
    <m/>
    <s v="Vt_4603"/>
    <n v="46"/>
    <d v="2026-05-23T00:00:00"/>
    <m/>
    <d v="2026-06-02T00:00:00"/>
    <n v="10"/>
    <n v="0"/>
    <n v="240"/>
    <n v="800"/>
    <n v="0"/>
    <n v="0"/>
    <n v="0"/>
    <s v="КР9-1"/>
    <s v="Перевод в ППД"/>
    <s v="-"/>
    <m/>
    <m/>
    <m/>
    <s v="низкий"/>
  </r>
  <r>
    <s v="1"/>
    <s v="6 КРС ООО &quot;ИНК-ТКРС&quot;"/>
    <s v="готов"/>
    <s v="выполняется"/>
    <s v="Btw_1608рс"/>
    <n v="16"/>
    <d v="2026-03-05T00:00:00"/>
    <d v="2026-03-03T00:00:00"/>
    <d v="2026-03-16T00:00:00"/>
    <n v="11"/>
    <n v="0"/>
    <n v="264"/>
    <n v="240"/>
    <n v="0"/>
    <n v="0"/>
    <m/>
    <s v="КР13-2"/>
    <s v="Разбуривание портов, с полным поглощением, после ГРП. ГИС под закачкой на ГНКТ (ОПП). "/>
    <s v="-"/>
    <m/>
    <m/>
    <m/>
    <s v="нет в перечне"/>
  </r>
  <r>
    <s v="1"/>
    <s v="6 КРС ООО &quot;ИНК-ТКРС&quot;"/>
    <m/>
    <s v="ож эцн"/>
    <s v="Ic_903"/>
    <n v="2"/>
    <d v="2026-03-16T00:00:00"/>
    <d v="2026-03-08T00:00:00"/>
    <d v="2026-03-24T00:00:00"/>
    <n v="8"/>
    <n v="0"/>
    <n v="192"/>
    <n v="142"/>
    <n v="69"/>
    <n v="36"/>
    <n v="143"/>
    <s v="ТР5-1"/>
    <s v="Смена ЭЦН на отказной скважине"/>
    <s v="-"/>
    <m/>
    <m/>
    <m/>
    <s v="Средний"/>
  </r>
  <r>
    <s v="1"/>
    <s v="6 КРС ООО &quot;ИНК-ТКРС&quot;"/>
    <m/>
    <m/>
    <s v="Vt_б/н"/>
    <m/>
    <d v="2026-03-24T00:00:00"/>
    <m/>
    <d v="2026-04-01T00:00:00"/>
    <n v="8"/>
    <n v="0"/>
    <n v="192"/>
    <n v="0"/>
    <n v="0"/>
    <n v="0"/>
    <m/>
    <s v="ТР5-1"/>
    <s v="смена ЭЦН на отказной скважине с доп работами"/>
    <s v="-"/>
    <m/>
    <m/>
    <m/>
    <s v="нет в перечне"/>
  </r>
  <r>
    <s v="1"/>
    <s v="6 КРС ООО &quot;ИНК-ТКРС&quot;"/>
    <m/>
    <m/>
    <s v="Vt_5701г"/>
    <n v="57"/>
    <d v="2026-04-01T00:00:00"/>
    <d v="2026-03-24T00:00:00"/>
    <d v="2026-04-09T00:00:00"/>
    <n v="8"/>
    <n v="0"/>
    <n v="192"/>
    <n v="500"/>
    <n v="0"/>
    <n v="0"/>
    <n v="0"/>
    <s v="ТР8-1"/>
    <s v="Смена ЭЦН с НЗ"/>
    <s v="-"/>
    <m/>
    <m/>
    <m/>
    <s v="Средний"/>
  </r>
  <r>
    <s v="1"/>
    <s v="6 КРС ООО &quot;ИНК-ТКРС&quot;"/>
    <m/>
    <m/>
    <s v="Vt_33320г"/>
    <n v="333"/>
    <d v="2026-04-09T00:00:00"/>
    <m/>
    <d v="2026-04-12T00:00:00"/>
    <n v="3"/>
    <n v="0"/>
    <n v="72"/>
    <n v="500"/>
    <n v="0"/>
    <n v="0"/>
    <n v="0"/>
    <s v="КР-ОС-7"/>
    <s v="спуск ЭЦН после бурения и подготовки устья"/>
    <s v="15.02.2026"/>
    <m/>
    <m/>
    <m/>
    <s v="Высокий"/>
  </r>
  <r>
    <s v="1"/>
    <s v="6 КРС ООО &quot;ИНК-ТКРС&quot;"/>
    <m/>
    <s v="ож гнкт"/>
    <s v="Vt_4406"/>
    <n v="44"/>
    <d v="2026-04-12T00:00:00"/>
    <d v="2026-03-25T00:00:00"/>
    <d v="2026-04-20T00:00:00"/>
    <n v="8"/>
    <n v="0"/>
    <n v="192"/>
    <n v="33"/>
    <n v="49"/>
    <n v="14"/>
    <n v="441"/>
    <s v="ТР5-1"/>
    <s v="Смена ЭЦН на отказной скважине"/>
    <s v="-"/>
    <m/>
    <m/>
    <m/>
    <s v="Средний"/>
  </r>
  <r>
    <s v="1"/>
    <s v="6 КРС ООО &quot;ИНК-ТКРС&quot;"/>
    <m/>
    <m/>
    <s v="Vt_33305"/>
    <n v="333"/>
    <d v="2026-04-20T00:00:00"/>
    <m/>
    <d v="2026-04-28T00:00:00"/>
    <n v="8"/>
    <n v="0"/>
    <n v="192"/>
    <n v="500"/>
    <n v="0"/>
    <n v="0"/>
    <n v="0"/>
    <s v="КР9-1"/>
    <s v="Подъем ЭЦН, спуск пакера ППД"/>
    <s v="-"/>
    <m/>
    <m/>
    <m/>
    <s v="Средний"/>
  </r>
  <r>
    <s v="1"/>
    <s v="6 КРС ООО &quot;ИНК-ТКРС&quot;"/>
    <m/>
    <m/>
    <s v="Vt_б/н"/>
    <m/>
    <d v="2026-04-28T00:00:00"/>
    <m/>
    <d v="2026-05-06T00:00:00"/>
    <n v="8"/>
    <n v="0"/>
    <n v="192"/>
    <n v="0"/>
    <n v="0"/>
    <n v="0"/>
    <m/>
    <s v="ТР5-1"/>
    <s v="смена ЭЦН на отказной скважине с доп работами"/>
    <s v="-"/>
    <m/>
    <m/>
    <m/>
    <s v="нет в перечне"/>
  </r>
  <r>
    <s v="1"/>
    <s v="6 КРС ООО &quot;ИНК-ТКРС&quot;"/>
    <m/>
    <m/>
    <s v="Vt_5011"/>
    <n v="50"/>
    <d v="2026-05-06T00:00:00"/>
    <m/>
    <d v="2026-05-14T00:00:00"/>
    <n v="8"/>
    <n v="0"/>
    <n v="192"/>
    <n v="262"/>
    <n v="30"/>
    <n v="149"/>
    <n v="320"/>
    <s v="КР-ОС-6"/>
    <s v="спуск эцн после зос"/>
    <s v="Пробурена "/>
    <d v="2026-04-27T00:00:00"/>
    <n v="2"/>
    <d v="2026-05-01T00:00:00"/>
    <s v="низкий"/>
  </r>
  <r>
    <s v="1"/>
    <s v="6 КРС ООО &quot;ИНК-ТКРС&quot;"/>
    <m/>
    <m/>
    <s v="Vt_б/н"/>
    <m/>
    <d v="2026-05-14T00:00:00"/>
    <m/>
    <d v="2026-05-22T00:00:00"/>
    <n v="8"/>
    <n v="0"/>
    <n v="192"/>
    <n v="0"/>
    <n v="0"/>
    <n v="0"/>
    <m/>
    <s v="ТР5-1"/>
    <s v="смена ЭЦН на отказной скважине с доп работами"/>
    <s v="-"/>
    <m/>
    <m/>
    <m/>
    <s v="нет в перечне"/>
  </r>
  <r>
    <s v="1"/>
    <s v="6 КРС ООО &quot;ИНК-ТКРС&quot;"/>
    <m/>
    <m/>
    <s v="Da_537"/>
    <n v="15"/>
    <d v="2026-05-22T00:00:00"/>
    <m/>
    <d v="2026-05-30T00:00:00"/>
    <n v="8"/>
    <n v="0"/>
    <n v="192"/>
    <n v="74"/>
    <n v="59"/>
    <n v="25"/>
    <n v="130"/>
    <s v="ТР5-1"/>
    <s v="Смена ЭЦН на отказной скважине"/>
    <s v="-"/>
    <m/>
    <m/>
    <m/>
    <s v="нет в перечне"/>
  </r>
  <r>
    <s v="1"/>
    <s v="6 КРС ООО &quot;ИНК-ТКРС&quot;"/>
    <m/>
    <m/>
    <s v="Da_543"/>
    <n v="17"/>
    <d v="2026-05-30T00:00:00"/>
    <m/>
    <d v="2026-06-08T00:00:00"/>
    <n v="8"/>
    <n v="1"/>
    <n v="216"/>
    <n v="320"/>
    <n v="44"/>
    <n v="149"/>
    <n v="220"/>
    <s v="ТР5-1"/>
    <s v="ППР, смена ЭЦН"/>
    <s v="-"/>
    <m/>
    <m/>
    <m/>
    <s v="Высокий"/>
  </r>
  <r>
    <s v="1"/>
    <s v="6 КРС ООО &quot;ИНК-ТКРС&quot;"/>
    <m/>
    <m/>
    <s v="Da_512"/>
    <n v="10"/>
    <d v="2026-06-08T00:00:00"/>
    <m/>
    <d v="2026-06-17T00:00:00"/>
    <n v="8"/>
    <n v="1"/>
    <n v="216"/>
    <n v="37"/>
    <n v="50"/>
    <n v="16"/>
    <n v="6"/>
    <s v="КР7-1"/>
    <s v="ВБД. Подъем ЭЦН, СПО ПСШ, спуск пакера в хвостовик 114, ОПЗ с ВНЭ, подъем пакера, спуск ЭЦН. Нужен ЭЦН малогабарит."/>
    <s v="-"/>
    <m/>
    <m/>
    <m/>
    <s v="Высокий"/>
  </r>
  <r>
    <s v="1"/>
    <s v="6 КРС ООО &quot;ИНК-ТКРС&quot;"/>
    <m/>
    <m/>
    <s v="Da_502"/>
    <n v="10"/>
    <d v="2026-06-17T00:00:00"/>
    <m/>
    <d v="2026-06-26T00:00:00"/>
    <n v="8"/>
    <n v="1"/>
    <n v="216"/>
    <n v="62"/>
    <n v="70"/>
    <n v="16"/>
    <n v="221"/>
    <s v="ТР5-1"/>
    <s v="ВБД. Подъем ЭЦН, СПО ПСШ, спуск ЭЦН. Нужен ЭЦН малогабарит."/>
    <s v="-"/>
    <m/>
    <m/>
    <m/>
    <s v="Высокий"/>
  </r>
  <r>
    <s v="2"/>
    <s v="9 КРС ООО &quot;ИНК-ТКРС&quot;"/>
    <s v="готов"/>
    <s v="выполняется"/>
    <s v="Vt_6311"/>
    <n v="63"/>
    <d v="2026-01-07T00:00:00"/>
    <m/>
    <d v="2026-03-20T00:00:00"/>
    <n v="70"/>
    <n v="2"/>
    <n v="1728"/>
    <n v="223"/>
    <n v="53"/>
    <n v="82"/>
    <n v="1031"/>
    <s v="КР3-1.1"/>
    <s v="ЛА при смене эцн_x000a_"/>
    <s v="-"/>
    <m/>
    <m/>
    <m/>
    <s v="-"/>
  </r>
  <r>
    <s v="2"/>
    <s v="9 КРС ООО &quot;ИНК-ТКРС&quot;"/>
    <s v="пр нет"/>
    <s v="ож эцн"/>
    <s v="Ic_003"/>
    <n v="3"/>
    <d v="2026-03-20T00:00:00"/>
    <d v="2026-03-21T00:00:00"/>
    <d v="2026-03-28T00:00:00"/>
    <n v="8"/>
    <n v="0"/>
    <n v="192"/>
    <n v="516"/>
    <n v="94"/>
    <n v="25"/>
    <n v="110"/>
    <s v="ТР5-1"/>
    <s v="смена ЭЦН на отказной скважине"/>
    <s v="-"/>
    <m/>
    <m/>
    <m/>
    <s v="Средний"/>
  </r>
  <r>
    <s v="2"/>
    <s v="9 КРС ООО &quot;ИНК-ТКРС&quot;"/>
    <m/>
    <m/>
    <s v="Vt_б/н"/>
    <m/>
    <d v="2026-03-28T00:00:00"/>
    <m/>
    <d v="2026-04-05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9 КРС ООО &quot;ИНК-ТКРС&quot;"/>
    <m/>
    <s v="фонтан"/>
    <s v="Vt_6302"/>
    <n v="63"/>
    <d v="2026-04-05T00:00:00"/>
    <d v="2026-03-29T00:00:00"/>
    <d v="2026-04-19T00:00:00"/>
    <n v="14"/>
    <n v="0"/>
    <n v="336"/>
    <n v="487"/>
    <n v="15"/>
    <n v="339"/>
    <n v="785"/>
    <s v="ТР2-5.3"/>
    <s v="ПМД"/>
    <s v="-"/>
    <m/>
    <m/>
    <m/>
    <s v="Высокий"/>
  </r>
  <r>
    <s v="2"/>
    <s v="9 КРС ООО &quot;ИНК-ТКРС&quot;"/>
    <m/>
    <s v="фонтан"/>
    <s v="Vt_8711"/>
    <n v="87"/>
    <d v="2026-04-19T00:00:00"/>
    <m/>
    <d v="2026-04-29T00:00:00"/>
    <n v="10"/>
    <n v="0"/>
    <n v="240"/>
    <n v="764"/>
    <n v="25"/>
    <n v="469"/>
    <n v="433"/>
    <s v="ТР2-5.3"/>
    <s v="ПМД Подъем УГРП, спуск ЭЦН"/>
    <s v="-"/>
    <m/>
    <m/>
    <m/>
    <s v="Средний"/>
  </r>
  <r>
    <s v="2"/>
    <s v="9 КРС ООО &quot;ИНК-ТКРС&quot;"/>
    <m/>
    <m/>
    <s v="Vt_9106"/>
    <n v="91"/>
    <d v="2026-04-29T00:00:00"/>
    <m/>
    <d v="2026-05-13T00:00:00"/>
    <n v="14"/>
    <n v="0"/>
    <n v="336"/>
    <n v="500"/>
    <m/>
    <m/>
    <m/>
    <s v="КР4-1"/>
    <s v="Авария при бурении._x000a_Планируется проведение ПВЛГ на Литвин."/>
    <s v="-"/>
    <m/>
    <m/>
    <m/>
    <s v="низкий"/>
  </r>
  <r>
    <s v="2"/>
    <s v="9 КРС ООО &quot;ИНК-ТКРС&quot;"/>
    <m/>
    <m/>
    <s v="Vt_9101"/>
    <n v="91"/>
    <d v="2026-05-13T00:00:00"/>
    <m/>
    <d v="2026-05-23T00:00:00"/>
    <n v="10"/>
    <n v="0"/>
    <n v="240"/>
    <n v="25"/>
    <n v="65"/>
    <n v="7"/>
    <n v="196"/>
    <s v="КР9-1"/>
    <s v="по рез-ту ГИС перевод в ППД"/>
    <s v="-"/>
    <m/>
    <m/>
    <m/>
    <s v="нет в перечне"/>
  </r>
  <r>
    <s v="2"/>
    <s v="9 КРС ООО &quot;ИНК-ТКРС&quot;"/>
    <m/>
    <m/>
    <s v="Vt_б/н"/>
    <m/>
    <d v="2026-05-23T00:00:00"/>
    <m/>
    <d v="2026-05-3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9 КРС ООО &quot;ИНК-ТКРС&quot;"/>
    <m/>
    <m/>
    <s v="Vt_б/н"/>
    <m/>
    <d v="2026-05-31T00:00:00"/>
    <m/>
    <d v="2026-06-08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9 КРС ООО &quot;ИНК-ТКРС&quot;"/>
    <m/>
    <m/>
    <s v="Vt_8701"/>
    <n v="87"/>
    <d v="2026-06-08T00:00:00"/>
    <m/>
    <d v="2026-06-16T00:00:00"/>
    <n v="8"/>
    <n v="0"/>
    <n v="192"/>
    <n v="260"/>
    <n v="82"/>
    <n v="38"/>
    <n v="1243"/>
    <s v="КР9-1"/>
    <s v="Подъем ЭЦН, спуск пакера ППД"/>
    <s v="-"/>
    <m/>
    <m/>
    <m/>
    <s v="ВНР"/>
  </r>
  <r>
    <s v="1"/>
    <s v="10 КРС ООО &quot;ИНК-ТКРС&quot;"/>
    <s v="готов"/>
    <s v="выполняется"/>
    <s v="Vt_089г"/>
    <n v="89"/>
    <d v="2026-03-06T00:00:00"/>
    <d v="2026-03-14T00:00:00"/>
    <d v="2026-03-08T00:00:00"/>
    <n v="2"/>
    <n v="0"/>
    <n v="48"/>
    <n v="0"/>
    <n v="0"/>
    <n v="0"/>
    <m/>
    <s v="ТР8-1"/>
    <s v="Спуск ЭЦНс ПА (с автокрана не смогли сделать НЗ)"/>
    <s v="-"/>
    <m/>
    <m/>
    <m/>
    <s v="нет в перечне"/>
  </r>
  <r>
    <s v="2"/>
    <s v="10 КРС ООО &quot;ИНК-ТКРС&quot;"/>
    <s v="пр нет"/>
    <s v="пау"/>
    <s v="Vt_9105"/>
    <n v="91"/>
    <d v="2026-03-08T00:00:00"/>
    <d v="2026-03-17T00:00:00"/>
    <d v="2026-03-18T00:00:00"/>
    <n v="10"/>
    <n v="0"/>
    <n v="240"/>
    <n v="439"/>
    <n v="20"/>
    <n v="288"/>
    <n v="499"/>
    <s v="ТР2-5.3"/>
    <s v="ПМД.   УГРП, Спуск ЭЦН"/>
    <s v="-"/>
    <m/>
    <m/>
    <m/>
    <s v="Высокий"/>
  </r>
  <r>
    <s v="1"/>
    <s v="10 КРС ООО &quot;ИНК-ТКРС&quot;"/>
    <s v="пр нет"/>
    <s v="ож эцн"/>
    <s v="Vt_8905"/>
    <n v="89"/>
    <d v="2026-03-18T00:00:00"/>
    <d v="2026-03-06T00:00:00"/>
    <d v="2026-03-28T00:00:00"/>
    <n v="10"/>
    <n v="0"/>
    <n v="240"/>
    <n v="153"/>
    <n v="66"/>
    <n v="43"/>
    <n v="340"/>
    <s v="КР7-1"/>
    <s v="ОТЗ, ОПЗ на отказной скважине. Отбит непроход 1100м, нужен будет КОПС"/>
    <s v="-"/>
    <m/>
    <m/>
    <m/>
    <s v="нет в перечне"/>
  </r>
  <r>
    <s v="1"/>
    <s v="10 КРС ООО &quot;ИНК-ТКРС&quot;"/>
    <m/>
    <s v="ож эцн"/>
    <s v="Vt_5130г"/>
    <n v="51"/>
    <d v="2026-03-28T00:00:00"/>
    <d v="2026-03-16T00:00:00"/>
    <d v="2026-04-05T00:00:00"/>
    <n v="8"/>
    <n v="0"/>
    <n v="192"/>
    <n v="1200"/>
    <n v="0"/>
    <n v="0"/>
    <n v="0"/>
    <s v="ТР8-1"/>
    <s v="извлечение ЭК-178, НЗ, спуск ЭЦН с кожухом "/>
    <s v="-"/>
    <m/>
    <m/>
    <m/>
    <s v="Высокий"/>
  </r>
  <r>
    <s v="1"/>
    <s v="10 КРС ООО &quot;ИНК-ТКРС&quot;"/>
    <m/>
    <m/>
    <s v="Vt_б/н"/>
    <m/>
    <d v="2026-04-05T00:00:00"/>
    <m/>
    <d v="2026-04-13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0 КРС ООО &quot;ИНК-ТКРС&quot;"/>
    <m/>
    <m/>
    <s v="Vt_5010"/>
    <n v="50"/>
    <d v="2026-04-13T00:00:00"/>
    <d v="2026-03-18T00:00:00"/>
    <d v="2026-04-25T00:00:00"/>
    <n v="12"/>
    <n v="0"/>
    <n v="288"/>
    <n v="276"/>
    <n v="10"/>
    <n v="201"/>
    <n v="400"/>
    <s v="КР-ОС-6"/>
    <s v="Освоение после ГРП"/>
    <s v="17.02.2026"/>
    <d v="2026-03-13T00:00:00"/>
    <n v="3"/>
    <d v="2026-03-22T00:00:00"/>
    <s v="Высокий"/>
  </r>
  <r>
    <s v="1"/>
    <s v="10 КРС ООО &quot;ИНК-ТКРС&quot;"/>
    <m/>
    <s v="ож грп _x000a_ож кгрп"/>
    <s v="Vt_5009"/>
    <n v="50"/>
    <d v="2026-04-25T00:00:00"/>
    <m/>
    <d v="2026-05-05T00:00:00"/>
    <n v="10"/>
    <n v="0"/>
    <n v="240"/>
    <n v="255"/>
    <n v="10"/>
    <n v="186"/>
    <n v="400"/>
    <s v="КР-ОС-6"/>
    <s v="Спуск ЭЦН после ЗОС/КГРП"/>
    <s v="-"/>
    <d v="2026-03-23T00:00:00"/>
    <n v="3"/>
    <d v="2026-03-31T00:00:00"/>
    <s v="-"/>
  </r>
  <r>
    <s v="1"/>
    <s v="10 КРС ООО &quot;ИНК-ТКРС&quot;"/>
    <m/>
    <m/>
    <s v="Vt_5704вз"/>
    <n v="57"/>
    <d v="2026-05-05T00:00:00"/>
    <m/>
    <d v="2026-05-15T00:00:00"/>
    <n v="10"/>
    <n v="0"/>
    <n v="240"/>
    <n v="1000"/>
    <n v="0"/>
    <n v="0"/>
    <n v="0"/>
    <s v="КР9-1"/>
    <s v="подъем ЭЦН спуск компоновки ППД"/>
    <s v="-"/>
    <m/>
    <m/>
    <m/>
    <s v="низкий"/>
  </r>
  <r>
    <s v="1"/>
    <s v="10 КРС ООО &quot;ИНК-ТКРС&quot;"/>
    <m/>
    <m/>
    <s v="Ic_б/н"/>
    <m/>
    <d v="2026-05-15T00:00:00"/>
    <m/>
    <d v="2026-05-25T00:00:00"/>
    <n v="10"/>
    <n v="0"/>
    <n v="240"/>
    <n v="0"/>
    <n v="0"/>
    <n v="0"/>
    <m/>
    <s v="ТР5-1"/>
    <s v="смена ЭЦН на отказной скважине"/>
    <s v="-"/>
    <m/>
    <m/>
    <m/>
    <s v="нет в перечне"/>
  </r>
  <r>
    <s v="1"/>
    <s v="10 КРС ООО &quot;ИНК-ТКРС&quot;"/>
    <m/>
    <m/>
    <s v="Vt_б/н"/>
    <m/>
    <d v="2026-05-25T00:00:00"/>
    <m/>
    <d v="2026-06-02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0 КРС ООО &quot;ИНК-ТКРС&quot;"/>
    <m/>
    <m/>
    <s v="Vt_5005"/>
    <n v="50"/>
    <d v="2026-06-02T00:00:00"/>
    <m/>
    <d v="2026-06-09T00:00:00"/>
    <n v="7"/>
    <n v="0"/>
    <n v="168"/>
    <n v="155"/>
    <n v="50"/>
    <n v="63"/>
    <n v="673"/>
    <s v="КР9-1"/>
    <s v="Перевод в ППД"/>
    <s v="-"/>
    <m/>
    <m/>
    <m/>
    <s v="-"/>
  </r>
  <r>
    <s v="1"/>
    <s v="10 КРС ООО &quot;ИНК-ТКРС&quot;"/>
    <m/>
    <m/>
    <s v="Vt_б/н"/>
    <m/>
    <d v="2026-06-09T00:00:00"/>
    <m/>
    <d v="2026-06-1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13 КРС ООО &quot;ИНК-ТКРС&quot;"/>
    <s v="готов"/>
    <s v="выполняется"/>
    <s v="Vt_5604"/>
    <n v="56"/>
    <d v="2026-03-03T00:00:00"/>
    <d v="2026-03-01T00:00:00"/>
    <d v="2026-03-17T00:00:00"/>
    <n v="14"/>
    <n v="0"/>
    <n v="336"/>
    <n v="779"/>
    <n v="60"/>
    <n v="128"/>
    <n v="210"/>
    <s v="ТР5-1"/>
    <s v="Смена ЭЦН на отказной скважине_x000a_глушение мультифазовой блокадой_x000a_ГИС МДСТ в ЭК 178мм"/>
    <s v="-"/>
    <m/>
    <m/>
    <m/>
    <s v="низкий"/>
  </r>
  <r>
    <s v="2"/>
    <s v="13 КРС ООО &quot;ИНК-ТКРС&quot;"/>
    <m/>
    <m/>
    <s v="Vt_5109"/>
    <n v="51"/>
    <d v="2026-03-17T00:00:00"/>
    <d v="2026-03-12T00:00:00"/>
    <d v="2026-04-16T00:00:00"/>
    <n v="30"/>
    <n v="0"/>
    <n v="720"/>
    <n v="490"/>
    <n v="54"/>
    <n v="185"/>
    <n v="819"/>
    <s v="КР3-1"/>
    <s v=" ЛА, (Отвернули НКТ. Произвели извлечение запыжованного кабеля)_x000a_Разбуривание МГРП, ПВР и ОПЗ. ГИС МДСТ в ЭК 178мм"/>
    <s v="-"/>
    <m/>
    <m/>
    <m/>
    <s v="Высокий"/>
  </r>
  <r>
    <s v="2"/>
    <s v="13 КРС ООО &quot;ИНК-ТКРС&quot;"/>
    <m/>
    <m/>
    <s v="Vt_5107"/>
    <n v="51"/>
    <d v="2026-04-16T00:00:00"/>
    <m/>
    <d v="2026-05-16T00:00:00"/>
    <n v="30"/>
    <n v="0"/>
    <n v="720"/>
    <n v="390"/>
    <n v="67"/>
    <n v="105"/>
    <n v="713"/>
    <s v="КР3-1.1"/>
    <s v="ЛА на отказной скважине"/>
    <s v="-"/>
    <m/>
    <m/>
    <m/>
    <s v="Высокий"/>
  </r>
  <r>
    <s v="2"/>
    <s v="13 КРС ООО &quot;ИНК-ТКРС&quot;"/>
    <m/>
    <s v="ож эцн"/>
    <s v="Vt_051г"/>
    <n v="51"/>
    <d v="2026-05-16T00:00:00"/>
    <m/>
    <d v="2026-05-20T00:00:00"/>
    <n v="4"/>
    <n v="0"/>
    <n v="96"/>
    <n v="1045"/>
    <n v="0"/>
    <n v="0"/>
    <n v="100"/>
    <s v="ТР8-1"/>
    <s v="Смена ЭЦН (ППР)"/>
    <s v="-"/>
    <m/>
    <m/>
    <m/>
    <s v="нет в перечне"/>
  </r>
  <r>
    <s v="2"/>
    <s v="13 КРС ООО &quot;ИНК-ТКРС&quot;"/>
    <m/>
    <m/>
    <s v="Vt_б/н"/>
    <m/>
    <d v="2026-05-20T00:00:00"/>
    <m/>
    <d v="2026-05-28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13 КРС ООО &quot;ИНК-ТКРС&quot;"/>
    <m/>
    <m/>
    <s v="Vt_б/н"/>
    <m/>
    <d v="2026-05-28T00:00:00"/>
    <m/>
    <d v="2026-06-05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13 КРС ООО &quot;ИНК-ТКРС&quot;"/>
    <m/>
    <m/>
    <s v="Vt_б/н"/>
    <m/>
    <d v="2026-06-05T00:00:00"/>
    <m/>
    <d v="2026-06-13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13 КРС ООО &quot;ИНК-ТКРС&quot;"/>
    <m/>
    <m/>
    <s v="Vt_б/н"/>
    <m/>
    <d v="2026-06-13T00:00:00"/>
    <m/>
    <d v="2026-06-18T00:00:00"/>
    <n v="5"/>
    <n v="0"/>
    <n v="120"/>
    <n v="0"/>
    <n v="0"/>
    <n v="0"/>
    <m/>
    <s v="ТР14-1.2"/>
    <s v="прочий"/>
    <s v="-"/>
    <m/>
    <m/>
    <m/>
    <s v="нет в перечне"/>
  </r>
  <r>
    <s v="2"/>
    <s v="13 КРС ООО &quot;ИНК-ТКРС&quot;"/>
    <m/>
    <m/>
    <s v="Vt_б/н"/>
    <m/>
    <d v="2026-06-18T00:00:00"/>
    <m/>
    <d v="2026-06-23T00:00:00"/>
    <n v="5"/>
    <n v="0"/>
    <n v="120"/>
    <n v="0"/>
    <n v="0"/>
    <n v="0"/>
    <m/>
    <s v="ТР14-1.2"/>
    <s v="прочий"/>
    <s v="-"/>
    <m/>
    <m/>
    <m/>
    <s v="нет в перечне"/>
  </r>
  <r>
    <s v="1"/>
    <s v="16 КРС ООО &quot;ИНК-ТКРС&quot;"/>
    <s v="готов"/>
    <s v="выполняется"/>
    <s v="Mc_306"/>
    <n v="3"/>
    <d v="2026-02-17T00:00:00"/>
    <m/>
    <d v="2026-04-03T00:00:00"/>
    <n v="45"/>
    <n v="0"/>
    <n v="1080"/>
    <n v="198"/>
    <n v="30"/>
    <n v="120"/>
    <n v="907"/>
    <s v="КР3-1.7"/>
    <s v="ЛА. Восстановление цем.камня между 178 и 245 колонной."/>
    <s v="-"/>
    <m/>
    <m/>
    <m/>
    <s v="-"/>
  </r>
  <r>
    <s v="1"/>
    <s v="16 КРС ООО &quot;ИНК-ТКРС&quot;"/>
    <m/>
    <m/>
    <s v="Mc_б/н"/>
    <m/>
    <d v="2026-04-03T00:00:00"/>
    <m/>
    <d v="2026-04-11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1"/>
    <s v="16 КРС ООО &quot;ИНК-ТКРС&quot;"/>
    <s v="готов"/>
    <m/>
    <s v="Mc_1002"/>
    <n v="10"/>
    <d v="2026-04-11T00:00:00"/>
    <m/>
    <d v="2026-04-22T00:00:00"/>
    <n v="11"/>
    <n v="0"/>
    <n v="264"/>
    <n v="405"/>
    <n v="10"/>
    <n v="0"/>
    <n v="1212"/>
    <s v="КР1-1.2"/>
    <s v="подъем компоновки ППД, Закрытие порта №5, спуск компоновки ППД"/>
    <s v="-"/>
    <m/>
    <m/>
    <m/>
    <s v="нет в перечне"/>
  </r>
  <r>
    <s v="1"/>
    <s v="16 КРС ООО &quot;ИНК-ТКРС&quot;"/>
    <s v="готов"/>
    <m/>
    <s v="Mc_602"/>
    <n v="6"/>
    <d v="2026-04-22T00:00:00"/>
    <m/>
    <d v="2026-05-22T00:00:00"/>
    <n v="30"/>
    <n v="0"/>
    <n v="720"/>
    <n v="500"/>
    <n v="0"/>
    <n v="0"/>
    <n v="0"/>
    <s v="КР3-1.1"/>
    <s v="Остановка на ГДИС за 1 сут до постановки ТКРС. Подъем ЭЦН, установка пробки - изоляция Ул, перфорация Бт, СПО ПСШ, спуск пакера ППД. Определение приемистости."/>
    <s v="-"/>
    <m/>
    <m/>
    <m/>
    <s v="Высокий"/>
  </r>
  <r>
    <s v="1"/>
    <s v="16 КРС ООО &quot;ИНК-ТКРС&quot;"/>
    <m/>
    <m/>
    <s v="Mc_б/н"/>
    <m/>
    <d v="2026-05-22T00:00:00"/>
    <m/>
    <d v="2026-05-30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1"/>
    <s v="16 КРС ООО &quot;ИНК-ТКРС&quot;"/>
    <m/>
    <m/>
    <s v="Mc_609"/>
    <n v="6"/>
    <d v="2026-05-30T00:00:00"/>
    <m/>
    <d v="2026-06-10T00:00:00"/>
    <n v="10"/>
    <n v="1"/>
    <n v="264"/>
    <n v="1000"/>
    <n v="0"/>
    <n v="0"/>
    <n v="0"/>
    <s v="КР9-1"/>
    <s v="Остановка на ГДИС за 1 сут до постановки ТКРС. Подъем ЭЦН, СПО ПСШ, спуск пакера ППД. Определение приемистости."/>
    <s v="-"/>
    <m/>
    <m/>
    <m/>
    <s v="низкий"/>
  </r>
  <r>
    <s v="1"/>
    <s v="16 КРС ООО &quot;ИНК-ТКРС&quot;"/>
    <m/>
    <m/>
    <s v="Mc_610"/>
    <n v="6"/>
    <d v="2026-06-10T00:00:00"/>
    <m/>
    <d v="2026-06-21T00:00:00"/>
    <n v="10"/>
    <n v="1"/>
    <n v="264"/>
    <n v="1000"/>
    <n v="0"/>
    <n v="0"/>
    <n v="0"/>
    <s v="КР9-1"/>
    <s v="Остановка на ГДИС за 1 сут до постановки ТКРС. Подъем ЭЦН, СПО ПСШ, спуск пакера ППД. Определение приемистости."/>
    <s v="-"/>
    <m/>
    <m/>
    <m/>
    <s v="низкий"/>
  </r>
  <r>
    <s v="1"/>
    <s v="18 КРС ООО &quot;ИНК-ТКРС&quot;"/>
    <s v="готов"/>
    <s v="выполняется"/>
    <s v="Au_369"/>
    <n v="93"/>
    <d v="2026-02-22T00:00:00"/>
    <m/>
    <d v="2026-03-07T00:00:00"/>
    <n v="11"/>
    <n v="2"/>
    <n v="312"/>
    <n v="96"/>
    <n v="2"/>
    <n v="78"/>
    <n v="556"/>
    <s v="ТР5-1"/>
    <s v="Смена ЭЦН на отказной скважине"/>
    <s v="-"/>
    <m/>
    <m/>
    <m/>
    <s v="-"/>
  </r>
  <r>
    <s v="1"/>
    <s v="18 КРС ООО &quot;ИНК-ТКРС&quot;"/>
    <m/>
    <s v="эцн в налич"/>
    <s v="Au_359"/>
    <n v="96"/>
    <d v="2026-03-07T00:00:00"/>
    <d v="2026-03-05T00:00:00"/>
    <d v="2026-03-16T00:00:00"/>
    <n v="8"/>
    <n v="1"/>
    <n v="216"/>
    <n v="63"/>
    <n v="45"/>
    <n v="29"/>
    <n v="217"/>
    <s v="ТР5-1"/>
    <s v="Смена ЭЦН на отказной скважине"/>
    <s v="-"/>
    <m/>
    <m/>
    <m/>
    <s v="нет в перечне"/>
  </r>
  <r>
    <s v="1"/>
    <s v="18 КРС ООО &quot;ИНК-ТКРС&quot;"/>
    <m/>
    <s v="ож грп"/>
    <s v="Ki_4707"/>
    <n v="47"/>
    <d v="2026-03-16T00:00:00"/>
    <d v="2026-03-11T00:00:00"/>
    <d v="2026-04-11T00:00:00"/>
    <n v="25"/>
    <n v="1"/>
    <n v="624"/>
    <n v="157"/>
    <n v="20"/>
    <n v="32"/>
    <n v="400"/>
    <s v="КР-ОС-8"/>
    <s v=" - сброс шаров  на 9 и 10 порты  определение приемистости на герметичность верхней  части хвостовика _x000a_- разбуривание  по мах глубине дохождению  _x000a_- проведение ГПП+ГРП при бригаде _x000a_- НЗ после ГПП _x000a_- по результату спуск ЭЦН"/>
    <s v="06.02.2026"/>
    <m/>
    <n v="7"/>
    <d v="2026-03-02T00:00:00"/>
    <s v="Высокий "/>
  </r>
  <r>
    <s v="1"/>
    <s v="18 КРС ООО &quot;ИНК-ТКРС&quot;"/>
    <s v="пр нет"/>
    <s v="фонтан"/>
    <s v="Msh_7001"/>
    <n v="70"/>
    <d v="2026-04-11T00:00:00"/>
    <d v="2026-03-14T00:00:00"/>
    <d v="2026-04-19T00:00:00"/>
    <n v="8"/>
    <n v="0"/>
    <n v="192"/>
    <n v="646"/>
    <n v="17"/>
    <n v="443"/>
    <n v="1444"/>
    <s v="КР13-2"/>
    <s v="подъем УЭЦН, норм.забоя и спуск НКТ 114 с ПМ."/>
    <s v="-"/>
    <m/>
    <m/>
    <m/>
    <s v="нет в перечне"/>
  </r>
  <r>
    <s v="1"/>
    <s v="18 КРС ООО &quot;ИНК-ТКРС&quot;"/>
    <m/>
    <m/>
    <s v="Ya_б/н"/>
    <m/>
    <d v="2026-04-19T00:00:00"/>
    <m/>
    <d v="2026-04-2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Ya_б/н"/>
    <m/>
    <d v="2026-04-27T00:00:00"/>
    <m/>
    <d v="2026-05-05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Msh_б/н"/>
    <m/>
    <d v="2026-05-05T00:00:00"/>
    <m/>
    <d v="2026-05-13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Ya_б/н"/>
    <m/>
    <d v="2026-05-13T00:00:00"/>
    <m/>
    <d v="2026-05-2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Ki_047г"/>
    <n v="47"/>
    <d v="2026-05-21T00:00:00"/>
    <m/>
    <d v="2026-05-24T00:00:00"/>
    <n v="3"/>
    <n v="0"/>
    <n v="72"/>
    <n v="250"/>
    <n v="0"/>
    <n v="22"/>
    <n v="0"/>
    <s v="КР13-13"/>
    <s v="извлечение частей ЭЦВ с забоя. НЗ забоя до Н=250м, передаем на обвязку устья_x000a_"/>
    <s v="-"/>
    <m/>
    <m/>
    <m/>
    <s v="Высокий"/>
  </r>
  <r>
    <s v="1"/>
    <s v="18 КРС ООО &quot;ИНК-ТКРС&quot;"/>
    <m/>
    <m/>
    <s v="Ya_б/н"/>
    <m/>
    <d v="2026-05-24T00:00:00"/>
    <m/>
    <d v="2026-06-0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s v="готов"/>
    <m/>
    <s v="Ki_047г"/>
    <n v="47"/>
    <d v="2026-06-01T00:00:00"/>
    <m/>
    <d v="2026-06-02T00:00:00"/>
    <n v="1"/>
    <n v="0"/>
    <n v="24"/>
    <n v="250"/>
    <n v="0"/>
    <n v="22"/>
    <n v="0"/>
    <s v="ТР8-1"/>
    <s v="спуск ЭЦН после подготовки устья_x000a_"/>
    <s v="-"/>
    <m/>
    <m/>
    <m/>
    <s v="Высокий"/>
  </r>
  <r>
    <s v="1"/>
    <s v="18 КРС ООО &quot;ИНК-ТКРС&quot;"/>
    <m/>
    <m/>
    <s v="Ya_б/н"/>
    <m/>
    <d v="2026-06-02T00:00:00"/>
    <m/>
    <d v="2026-06-10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Ya_б/н"/>
    <m/>
    <d v="2026-06-10T00:00:00"/>
    <m/>
    <d v="2026-06-18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8 КРС ООО &quot;ИНК-ТКРС&quot;"/>
    <m/>
    <m/>
    <s v="Ki_4702"/>
    <n v="47"/>
    <d v="2026-06-18T00:00:00"/>
    <m/>
    <d v="2026-06-28T00:00:00"/>
    <n v="10"/>
    <n v="0"/>
    <n v="240"/>
    <n v="1365"/>
    <n v="98"/>
    <n v="22"/>
    <n v="4113"/>
    <s v="КР7-2"/>
    <s v="ЗР ГРП"/>
    <s v="Пробурена "/>
    <d v="2026-06-19T00:00:00"/>
    <n v="2"/>
    <d v="2026-06-23T00:00:00"/>
    <s v="За рамками 3-месяцев"/>
  </r>
  <r>
    <s v="1"/>
    <s v="19 КРС ООО &quot;ИНК-ТКРС&quot;"/>
    <s v="готов"/>
    <s v="выполняется"/>
    <s v="Ki_71603"/>
    <n v="716"/>
    <d v="2026-02-19T00:00:00"/>
    <d v="2026-03-20T00:00:00"/>
    <d v="2026-03-20T00:00:00"/>
    <n v="27"/>
    <n v="2"/>
    <n v="696"/>
    <n v="1439000"/>
    <n v="0"/>
    <n v="216"/>
    <n v="6667"/>
    <s v="КР-ОС-6"/>
    <s v="Глушение скважины. Подъем УГРП. Спуск воронки на НКТ-114 с ПМ."/>
    <s v="Пробурена "/>
    <m/>
    <n v="6"/>
    <d v="2026-02-08T00:00:00"/>
    <s v="-"/>
  </r>
  <r>
    <s v="1"/>
    <s v="19 КРС ООО &quot;ИНК-ТКРС&quot;"/>
    <m/>
    <s v="ож гнкт"/>
    <s v="Ki_4706"/>
    <n v="47"/>
    <d v="2026-03-20T00:00:00"/>
    <m/>
    <d v="2026-04-03T00:00:00"/>
    <n v="14"/>
    <n v="0"/>
    <n v="336"/>
    <n v="250"/>
    <n v="20"/>
    <n v="166"/>
    <n v="400"/>
    <s v="КР-ОС-6"/>
    <s v="Подъём УГРП, Разбуривание, спуск ЭЦН на отработку"/>
    <s v="Пробурена "/>
    <d v="2026-03-22T00:00:00"/>
    <n v="3"/>
    <d v="2026-03-28T00:00:00"/>
    <s v="Высокий "/>
  </r>
  <r>
    <s v="1"/>
    <s v="19 КРС ООО &quot;ИНК-ТКРС&quot;"/>
    <m/>
    <m/>
    <s v="Ya_б/н"/>
    <m/>
    <d v="2026-04-03T00:00:00"/>
    <m/>
    <d v="2026-04-1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9 КРС ООО &quot;ИНК-ТКРС&quot;"/>
    <m/>
    <m/>
    <s v="Ya_б/н"/>
    <m/>
    <d v="2026-04-11T00:00:00"/>
    <m/>
    <d v="2026-04-19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9 КРС ООО &quot;ИНК-ТКРС&quot;"/>
    <m/>
    <m/>
    <s v="Ya_б/н"/>
    <m/>
    <d v="2026-04-19T00:00:00"/>
    <m/>
    <d v="2026-04-2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9 КРС ООО &quot;ИНК-ТКРС&quot;"/>
    <m/>
    <m/>
    <s v="Ya_б/н"/>
    <m/>
    <d v="2026-04-27T00:00:00"/>
    <m/>
    <d v="2026-05-05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19 КРС ООО &quot;ИНК-ТКРС&quot;"/>
    <m/>
    <s v="ож грп"/>
    <s v="Ki_8902"/>
    <n v="89"/>
    <d v="2026-05-05T00:00:00"/>
    <m/>
    <d v="2026-05-25T00:00:00"/>
    <n v="20"/>
    <n v="0"/>
    <n v="480"/>
    <n v="1092000"/>
    <n v="0"/>
    <n v="164"/>
    <n v="0"/>
    <s v="КР-ОС-6"/>
    <s v="ЗР ГРП, с разбуриванием муфт, спуск ЭЦН, отработка ЭЦНом"/>
    <s v="Пробурена "/>
    <d v="2026-05-09T00:00:00"/>
    <n v="5"/>
    <d v="2026-05-19T00:00:00"/>
    <s v="Высокий"/>
  </r>
  <r>
    <s v="2"/>
    <s v="22 КРС ООО &quot;ИНК-ТКРС&quot;"/>
    <s v="готов"/>
    <s v="выполняется"/>
    <s v="Vt_6308"/>
    <n v="63"/>
    <d v="2026-01-24T00:00:00"/>
    <m/>
    <d v="2026-03-24T00:00:00"/>
    <n v="57"/>
    <n v="2"/>
    <n v="1416"/>
    <n v="380"/>
    <n v="80"/>
    <n v="59"/>
    <n v="1106"/>
    <s v="КР3-1.1"/>
    <s v="ЛА ГИС МДСТ в ЭК 178мм"/>
    <s v="-"/>
    <m/>
    <m/>
    <m/>
    <s v="-"/>
  </r>
  <r>
    <s v="2"/>
    <s v="22 КРС ООО &quot;ИНК-ТКРС&quot;"/>
    <s v="готов"/>
    <m/>
    <s v="Vt_6309"/>
    <n v="63"/>
    <d v="2026-03-24T00:00:00"/>
    <d v="2026-03-24T00:00:00"/>
    <d v="2026-04-18T00:00:00"/>
    <n v="25"/>
    <n v="0"/>
    <n v="600"/>
    <n v="1000"/>
    <m/>
    <m/>
    <n v="0"/>
    <s v="КР3-1.1"/>
    <s v="ЛА, перевод в ППД. ГИС МДСТ в ЭК 178мм"/>
    <s v="-"/>
    <m/>
    <m/>
    <m/>
    <s v="Высокий"/>
  </r>
  <r>
    <s v="2"/>
    <s v="22 КРС ООО &quot;ИНК-ТКРС&quot;"/>
    <m/>
    <m/>
    <s v="Vt_6307"/>
    <n v="63"/>
    <d v="2026-04-18T00:00:00"/>
    <m/>
    <d v="2026-04-28T00:00:00"/>
    <n v="10"/>
    <n v="0"/>
    <n v="240"/>
    <n v="1000"/>
    <n v="0"/>
    <n v="0"/>
    <n v="0"/>
    <s v="КР9-1"/>
    <s v="перевод в ППД"/>
    <s v="-"/>
    <m/>
    <m/>
    <m/>
    <s v="Средний"/>
  </r>
  <r>
    <s v="2"/>
    <s v="22 КРС ООО &quot;ИНК-ТКРС&quot;"/>
    <m/>
    <m/>
    <s v="Vt_6306"/>
    <n v="63"/>
    <d v="2026-04-28T00:00:00"/>
    <m/>
    <d v="2026-05-10T00:00:00"/>
    <n v="12"/>
    <n v="0"/>
    <n v="288"/>
    <n v="1000"/>
    <n v="0"/>
    <n v="0"/>
    <n v="0"/>
    <s v="КР10-1"/>
    <s v="Смена УГРП на пакер ППД"/>
    <s v="-"/>
    <m/>
    <m/>
    <m/>
    <s v="низкий"/>
  </r>
  <r>
    <s v="2"/>
    <s v="22 КРС ООО &quot;ИНК-ТКРС&quot;"/>
    <m/>
    <m/>
    <s v="Vt_6304"/>
    <n v="63"/>
    <d v="2026-05-10T00:00:00"/>
    <m/>
    <d v="2026-05-18T00:00:00"/>
    <n v="8"/>
    <n v="0"/>
    <n v="192"/>
    <n v="1143"/>
    <n v="81"/>
    <n v="178"/>
    <n v="344"/>
    <s v="ТР3-2"/>
    <s v="оптимизаци при отказе!"/>
    <s v="-"/>
    <m/>
    <m/>
    <m/>
    <s v="Средний"/>
  </r>
  <r>
    <s v="2"/>
    <s v="22 КРС ООО &quot;ИНК-ТКРС&quot;"/>
    <m/>
    <m/>
    <s v="Vt_б/н"/>
    <m/>
    <d v="2026-05-18T00:00:00"/>
    <m/>
    <d v="2026-05-26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22 КРС ООО &quot;ИНК-ТКРС&quot;"/>
    <m/>
    <m/>
    <s v="Vt_б/н"/>
    <m/>
    <d v="2026-05-26T00:00:00"/>
    <m/>
    <d v="2026-06-03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22 КРС ООО &quot;ИНК-ТКРС&quot;"/>
    <s v="готов"/>
    <m/>
    <s v="Ic_395"/>
    <n v="9"/>
    <d v="2026-06-03T00:00:00"/>
    <m/>
    <d v="2026-06-15T00:00:00"/>
    <n v="12"/>
    <n v="0"/>
    <n v="288"/>
    <n v="300"/>
    <n v="0"/>
    <n v="0"/>
    <n v="0"/>
    <s v="КР10-1"/>
    <s v="ППР ППД"/>
    <s v="-"/>
    <m/>
    <m/>
    <m/>
    <s v="низкий"/>
  </r>
  <r>
    <s v="2"/>
    <s v="22 КРС ООО &quot;ИНК-ТКРС&quot;"/>
    <m/>
    <s v="ож эцн"/>
    <s v="Vt_656"/>
    <n v="35"/>
    <d v="2026-06-15T00:00:00"/>
    <m/>
    <d v="2026-06-23T00:00:00"/>
    <n v="8"/>
    <n v="0"/>
    <n v="192"/>
    <n v="29"/>
    <n v="65"/>
    <n v="8"/>
    <n v="182"/>
    <s v="ТР5-1"/>
    <s v="смена ЭЦН на отказной скважине"/>
    <s v="-"/>
    <m/>
    <m/>
    <m/>
    <s v="Средний"/>
  </r>
  <r>
    <s v="2"/>
    <s v="23 КРС ООО &quot;ИНК-ТКРС&quot;"/>
    <s v="готов"/>
    <s v="выполняется"/>
    <s v="Vt_5009"/>
    <n v="50"/>
    <d v="2026-02-15T00:00:00"/>
    <m/>
    <d v="2026-03-13T00:00:00"/>
    <n v="24"/>
    <n v="2"/>
    <n v="624"/>
    <n v="255"/>
    <n v="10"/>
    <n v="186"/>
    <n v="400"/>
    <s v="КР3-6"/>
    <s v="НА СКВАЖИНЕ СМОНТИРОВАН СТОЛ РОТОРА и ПРИСТАВНЫЕ СТЕЛЛАЖИ!!!!_x000a_ЛА, ПР к ГРП"/>
    <s v="-"/>
    <d v="2026-03-23T00:00:00"/>
    <n v="3"/>
    <d v="2026-03-31T00:00:00"/>
    <s v="-"/>
  </r>
  <r>
    <s v="2"/>
    <s v="23 КРС ООО &quot;ИНК-ТКРС&quot;"/>
    <s v="нз нет"/>
    <m/>
    <s v="Bt_1204"/>
    <n v="12"/>
    <d v="2026-03-13T00:00:00"/>
    <m/>
    <d v="2026-03-23T00:00:00"/>
    <n v="10"/>
    <n v="0"/>
    <n v="240"/>
    <n v="294"/>
    <n v="1"/>
    <n v="235"/>
    <n v="320"/>
    <s v="КР-ОС-5"/>
    <s v="Перепосадка УГРП"/>
    <s v="20.02.2026"/>
    <d v="2026-05-02T00:00:00"/>
    <n v="4"/>
    <d v="2026-05-14T00:00:00"/>
    <s v="низкий"/>
  </r>
  <r>
    <s v="2"/>
    <s v="23 КРС ООО &quot;ИНК-ТКРС&quot;"/>
    <m/>
    <m/>
    <s v="Vt_б/н"/>
    <m/>
    <d v="2026-03-23T00:00:00"/>
    <m/>
    <d v="2026-03-30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2"/>
    <s v="23 КРС ООО &quot;ИНК-ТКРС&quot;"/>
    <m/>
    <m/>
    <s v="Vt_17903"/>
    <n v="179"/>
    <d v="2026-03-30T00:00:00"/>
    <m/>
    <d v="2026-04-13T00:00:00"/>
    <n v="14"/>
    <n v="0"/>
    <n v="336"/>
    <n v="249"/>
    <n v="30"/>
    <n v="142"/>
    <n v="320"/>
    <s v="КР-ОС-6"/>
    <s v="отработка, спуск ЭЦН после ГРП"/>
    <s v="01.04.2026"/>
    <m/>
    <m/>
    <m/>
    <s v="Средний"/>
  </r>
  <r>
    <s v="2"/>
    <s v="23 КРС ООО &quot;ИНК-ТКРС&quot;"/>
    <m/>
    <m/>
    <s v="Vt_б/н"/>
    <m/>
    <d v="2026-04-13T00:00:00"/>
    <m/>
    <d v="2026-04-20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2"/>
    <s v="23 КРС ООО &quot;ИНК-ТКРС&quot;"/>
    <m/>
    <m/>
    <s v="Ic_б/н"/>
    <m/>
    <d v="2026-04-20T00:00:00"/>
    <m/>
    <d v="2026-04-27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2"/>
    <s v="23 КРС ООО &quot;ИНК-ТКРС&quot;"/>
    <m/>
    <m/>
    <s v="Vt_8807"/>
    <n v="88"/>
    <d v="2026-04-27T00:00:00"/>
    <d v="2026-03-30T00:00:00"/>
    <d v="2026-05-05T00:00:00"/>
    <n v="8"/>
    <n v="0"/>
    <n v="192"/>
    <n v="500"/>
    <n v="0"/>
    <n v="0"/>
    <n v="0"/>
    <s v="КР9-1"/>
    <s v="Подъем ЭЦН, спуск пакера ППД"/>
    <s v="-"/>
    <m/>
    <m/>
    <m/>
    <s v="Средний"/>
  </r>
  <r>
    <s v="2"/>
    <s v="23 КРС ООО &quot;ИНК-ТКРС&quot;"/>
    <m/>
    <m/>
    <s v="Vt_5502"/>
    <n v="55"/>
    <d v="2026-05-05T00:00:00"/>
    <m/>
    <d v="2026-05-15T00:00:00"/>
    <n v="10"/>
    <n v="0"/>
    <n v="240"/>
    <m/>
    <m/>
    <m/>
    <m/>
    <s v="КР-ОС-8"/>
    <s v="ВНС"/>
    <s v="25.11.2024"/>
    <m/>
    <m/>
    <m/>
    <s v="за рамками трех месяцев"/>
  </r>
  <r>
    <s v="2"/>
    <s v="23 КРС ООО &quot;ИНК-ТКРС&quot;"/>
    <s v="готов"/>
    <m/>
    <s v="Vt_5401"/>
    <n v="54"/>
    <d v="2026-05-15T00:00:00"/>
    <m/>
    <d v="2026-05-27T00:00:00"/>
    <n v="12"/>
    <n v="0"/>
    <n v="288"/>
    <n v="40"/>
    <n v="96"/>
    <n v="4"/>
    <n v="200"/>
    <s v="КР-ОС-6"/>
    <s v="спуск ЭЦН, отработка, по рез-ту испытания консервация скважины"/>
    <s v="-"/>
    <m/>
    <m/>
    <m/>
    <s v="Высокий"/>
  </r>
  <r>
    <s v="2"/>
    <s v="23 КРС ООО &quot;ИНК-ТКРС&quot;"/>
    <m/>
    <s v="ож грп _x000a_ож зос"/>
    <s v="Bt_1502"/>
    <n v="15"/>
    <d v="2026-05-27T00:00:00"/>
    <d v="2026-03-14T00:00:00"/>
    <d v="2026-06-06T00:00:00"/>
    <n v="10"/>
    <n v="0"/>
    <n v="240"/>
    <n v="250"/>
    <n v="0"/>
    <n v="205"/>
    <n v="0"/>
    <s v="КР7-3"/>
    <s v="ЗР ГРП"/>
    <s v="-"/>
    <d v="2026-04-10T00:00:00"/>
    <n v="3"/>
    <d v="2026-04-16T00:00:00"/>
    <s v="Высокий"/>
  </r>
  <r>
    <s v="2"/>
    <s v="23 КРС ООО &quot;ИНК-ТКРС&quot;"/>
    <m/>
    <m/>
    <s v="Bt_7201"/>
    <n v="72"/>
    <d v="2026-06-06T00:00:00"/>
    <m/>
    <d v="2026-06-16T00:00:00"/>
    <n v="10"/>
    <n v="0"/>
    <n v="240"/>
    <n v="1678000"/>
    <m/>
    <n v="436"/>
    <n v="0"/>
    <s v="КР11-1"/>
    <s v="консервация с ЦМ"/>
    <s v="Пробурена "/>
    <m/>
    <m/>
    <m/>
    <s v="Высокий"/>
  </r>
  <r>
    <s v="2"/>
    <s v="23 КРС ООО &quot;ИНК-ТКРС&quot;"/>
    <m/>
    <m/>
    <s v="Vt_б/н"/>
    <m/>
    <d v="2026-06-16T00:00:00"/>
    <m/>
    <d v="2026-06-23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1"/>
    <s v="24 КРС ООО &quot;ИНК-ТКРС&quot;"/>
    <s v="готов"/>
    <s v="выполняется"/>
    <s v="Msh_2801"/>
    <n v="28"/>
    <d v="2026-02-19T00:00:00"/>
    <m/>
    <d v="2026-03-14T00:00:00"/>
    <n v="21"/>
    <n v="2"/>
    <n v="552"/>
    <n v="800"/>
    <n v="0"/>
    <n v="0"/>
    <n v="0"/>
    <s v="КР4-1"/>
    <s v="перевод в гидрологическую. расконсервация, УЦМ, ПВР (три колонны)"/>
    <s v="-"/>
    <m/>
    <m/>
    <m/>
    <s v="Высокий"/>
  </r>
  <r>
    <s v="1"/>
    <s v="24 КРС ООО &quot;ИНК-ТКРС&quot;"/>
    <m/>
    <m/>
    <s v="Msh_3730г"/>
    <n v="37"/>
    <d v="2026-03-14T00:00:00"/>
    <d v="2026-03-12T00:00:00"/>
    <d v="2026-03-18T00:00:00"/>
    <n v="3"/>
    <n v="1"/>
    <n v="96"/>
    <m/>
    <n v="0"/>
    <n v="0"/>
    <n v="0"/>
    <s v="КР11-1"/>
    <s v="извлечение ЭЦН. Консервация скважины, без УЦМ_x000a_"/>
    <s v="-"/>
    <m/>
    <m/>
    <m/>
    <s v="низкий"/>
  </r>
  <r>
    <s v="1"/>
    <s v="24 КРС ООО &quot;ИНК-ТКРС&quot;"/>
    <m/>
    <m/>
    <s v="Msh_3740г"/>
    <n v="37"/>
    <d v="2026-03-18T00:00:00"/>
    <d v="2026-03-16T00:00:00"/>
    <d v="2026-03-22T00:00:00"/>
    <n v="3"/>
    <n v="1"/>
    <n v="96"/>
    <n v="250"/>
    <n v="0"/>
    <n v="0"/>
    <n v="0"/>
    <s v="ТР11-1"/>
    <s v="извлечение ЭЦН. Консервация скважины, без УЦМ_x000a_"/>
    <s v="-"/>
    <m/>
    <m/>
    <m/>
    <s v="низкий"/>
  </r>
  <r>
    <s v="1"/>
    <s v="24 КРС ООО &quot;ИНК-ТКРС&quot;"/>
    <s v="готов"/>
    <m/>
    <s v="Ma_025_ma"/>
    <m/>
    <d v="2026-03-22T00:00:00"/>
    <d v="2026-03-20T00:00:00"/>
    <d v="2026-04-21T00:00:00"/>
    <n v="30"/>
    <n v="0"/>
    <n v="720"/>
    <n v="0"/>
    <n v="0"/>
    <n v="0"/>
    <m/>
    <s v="КР12-1"/>
    <s v="Разликвидация, ПР к ГРП на Pa (14 дней), ГРП, испытание (нужен газосепаратор), консервация/ликвидация."/>
    <s v="-"/>
    <d v="2026-03-29T00:00:00"/>
    <n v="1"/>
    <d v="2026-03-31T00:00:00"/>
    <s v="нет в перечне"/>
  </r>
  <r>
    <s v="1"/>
    <s v="24 КРС ООО &quot;ИНК-ТКРС&quot;"/>
    <m/>
    <s v="ож эцн"/>
    <s v="Ki_3302"/>
    <n v="33"/>
    <d v="2026-04-21T00:00:00"/>
    <m/>
    <d v="2026-04-29T00:00:00"/>
    <n v="8"/>
    <n v="0"/>
    <n v="192"/>
    <n v="59"/>
    <n v="35"/>
    <n v="32"/>
    <n v="1250"/>
    <s v="ТР5-1"/>
    <s v="смена ЭЦН на отказной скважине"/>
    <s v="-"/>
    <m/>
    <m/>
    <m/>
    <s v="Средний "/>
  </r>
  <r>
    <s v="1"/>
    <s v="24 КРС ООО &quot;ИНК-ТКРС&quot;"/>
    <m/>
    <s v="ож эцн"/>
    <s v="Ki_3310"/>
    <n v="33"/>
    <d v="2026-04-29T00:00:00"/>
    <m/>
    <d v="2026-05-07T00:00:00"/>
    <n v="8"/>
    <n v="0"/>
    <n v="192"/>
    <n v="75"/>
    <n v="80"/>
    <n v="12"/>
    <n v="291"/>
    <s v="ТР5-1"/>
    <s v="КЗИ, сросток, запуск скв"/>
    <s v="-"/>
    <m/>
    <m/>
    <m/>
    <s v="Средний "/>
  </r>
  <r>
    <s v="1"/>
    <s v="24 КРС ООО &quot;ИНК-ТКРС&quot;"/>
    <m/>
    <m/>
    <s v="Ki_716г"/>
    <n v="716"/>
    <d v="2026-05-07T00:00:00"/>
    <m/>
    <d v="2026-05-11T00:00:00"/>
    <n v="4"/>
    <n v="0"/>
    <n v="96"/>
    <m/>
    <n v="0"/>
    <n v="0"/>
    <n v="0"/>
    <s v="ТР8-1"/>
    <s v="Прочие ГТМ ВЗ"/>
    <s v="-"/>
    <m/>
    <m/>
    <m/>
    <s v="Средний"/>
  </r>
  <r>
    <s v="1"/>
    <s v="24 КРС ООО &quot;ИНК-ТКРС&quot;"/>
    <m/>
    <m/>
    <s v="Ya_б/н"/>
    <m/>
    <d v="2026-05-11T00:00:00"/>
    <m/>
    <d v="2026-05-19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24 КРС ООО &quot;ИНК-ТКРС&quot;"/>
    <m/>
    <m/>
    <s v="Ya_б/н"/>
    <m/>
    <d v="2026-05-19T00:00:00"/>
    <m/>
    <d v="2026-05-2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1"/>
    <s v="24 КРС ООО &quot;ИНК-ТКРС&quot;"/>
    <m/>
    <m/>
    <s v="Msh_9701"/>
    <n v="97"/>
    <d v="2026-05-27T00:00:00"/>
    <m/>
    <d v="2026-06-06T00:00:00"/>
    <n v="10"/>
    <n v="0"/>
    <n v="240"/>
    <n v="0"/>
    <n v="0"/>
    <n v="0"/>
    <m/>
    <s v="КР-ОС-1"/>
    <s v="ВНС"/>
    <s v="-"/>
    <m/>
    <m/>
    <m/>
    <s v="нет в перечне"/>
  </r>
  <r>
    <s v="1"/>
    <s v="26 КРС ООО &quot;ИНК-ТКРС&quot;"/>
    <s v="готов"/>
    <s v="выполняется"/>
    <s v="Mc_902-mc"/>
    <m/>
    <d v="2026-02-18T00:00:00"/>
    <m/>
    <d v="2026-03-10T00:00:00"/>
    <n v="15"/>
    <n v="5"/>
    <n v="480"/>
    <n v="0"/>
    <n v="0"/>
    <n v="0"/>
    <m/>
    <s v="КР4-1"/>
    <s v="Подъем воронки, СПО ПСШ, ЦЗ Ул, проработка колонны до гл.2118м, опрессовка э/к на 80атм. ПВР в инт.2109-2115м двойной плотностью. Спуск пакера на гл. гл.2060м."/>
    <s v="-"/>
    <m/>
    <m/>
    <m/>
    <s v="нет в перечне"/>
  </r>
  <r>
    <s v="1"/>
    <s v="26 КРС ООО &quot;ИНК-ТКРС&quot;"/>
    <m/>
    <s v="эцн в налич"/>
    <s v="Mc_1004"/>
    <n v="10"/>
    <d v="2026-03-10T00:00:00"/>
    <m/>
    <d v="2026-03-19T00:00:00"/>
    <n v="8"/>
    <n v="1"/>
    <n v="216"/>
    <n v="165"/>
    <n v="54"/>
    <n v="66"/>
    <n v="120"/>
    <s v="ТР5-1"/>
    <s v="Смена ЭЦН на отказной скважине + НЗ ГЖ"/>
    <s v="-"/>
    <m/>
    <m/>
    <m/>
    <s v="По результатам ВНР"/>
  </r>
  <r>
    <s v="1"/>
    <s v="26 КРС ООО &quot;ИНК-ТКРС&quot;"/>
    <s v="нз нет"/>
    <m/>
    <s v="Mr_12405"/>
    <m/>
    <d v="2026-03-19T00:00:00"/>
    <d v="2026-03-03T00:00:00"/>
    <d v="2026-04-01T00:00:00"/>
    <n v="12"/>
    <n v="1"/>
    <n v="312"/>
    <m/>
    <m/>
    <m/>
    <m/>
    <s v="ТР11-1"/>
    <s v="Перевод в пьезометр. Подъем воронки. Бурение ЦМ до гл.2090м. СПО ПСШ. ПВР Ул в инт.2055-2064м двойной плотностью. ОП, ОПЗ. Спуск воронки."/>
    <s v="-"/>
    <m/>
    <m/>
    <m/>
    <s v="Высокий"/>
  </r>
  <r>
    <s v="1"/>
    <s v="26 КРС ООО &quot;ИНК-ТКРС&quot;"/>
    <m/>
    <m/>
    <s v="Mr_20409"/>
    <m/>
    <d v="2026-04-01T00:00:00"/>
    <d v="2026-03-16T00:00:00"/>
    <d v="2026-04-13T00:00:00"/>
    <n v="12"/>
    <n v="0"/>
    <n v="288"/>
    <m/>
    <m/>
    <m/>
    <m/>
    <s v="ТР11-1"/>
    <s v="Перевод в пьезометр. Подъем воронки. Бурение ЦМ до гл.2060м. СПО ПСШ. ПВР Бт в инт.2053-2059м двойной плотностью. ОП, ОПЗ. Спуск воронки"/>
    <s v="-"/>
    <m/>
    <m/>
    <m/>
    <s v="Высокий"/>
  </r>
  <r>
    <s v="1"/>
    <s v="26 КРС ООО &quot;ИНК-ТКРС&quot;"/>
    <m/>
    <m/>
    <s v="Mr_1608"/>
    <n v="16"/>
    <d v="2026-04-13T00:00:00"/>
    <d v="2026-03-29T00:00:00"/>
    <d v="2026-04-21T00:00:00"/>
    <n v="8"/>
    <n v="0"/>
    <n v="192"/>
    <n v="1226"/>
    <n v="68"/>
    <n v="337"/>
    <n v="142"/>
    <s v="ТР3-2"/>
    <s v="Оптимизация"/>
    <s v="-"/>
    <m/>
    <m/>
    <m/>
    <s v="Средний"/>
  </r>
  <r>
    <s v="1"/>
    <s v="26 КРС ООО &quot;ИНК-ТКРС&quot;"/>
    <m/>
    <m/>
    <s v="Mr_1903"/>
    <n v="19"/>
    <d v="2026-04-21T00:00:00"/>
    <m/>
    <d v="2026-04-29T00:00:00"/>
    <n v="8"/>
    <n v="0"/>
    <n v="192"/>
    <n v="520"/>
    <n v="1"/>
    <n v="443"/>
    <n v="69"/>
    <s v="ТР3-2"/>
    <s v="Оптимизация"/>
    <s v="-"/>
    <m/>
    <m/>
    <m/>
    <s v="Средний"/>
  </r>
  <r>
    <s v="1"/>
    <s v="26 КРС ООО &quot;ИНК-ТКРС&quot;"/>
    <m/>
    <m/>
    <s v="Mr_1904"/>
    <n v="19"/>
    <d v="2026-04-29T00:00:00"/>
    <m/>
    <d v="2026-05-07T00:00:00"/>
    <n v="8"/>
    <n v="0"/>
    <n v="192"/>
    <n v="213"/>
    <n v="4"/>
    <n v="176"/>
    <n v="144"/>
    <s v="ТР3-2"/>
    <s v="Оптимизация"/>
    <s v="-"/>
    <m/>
    <m/>
    <m/>
    <s v="Средний"/>
  </r>
  <r>
    <s v="1"/>
    <s v="26 КРС ООО &quot;ИНК-ТКРС&quot;"/>
    <m/>
    <m/>
    <s v="Mr_1909"/>
    <n v="19"/>
    <d v="2026-05-07T00:00:00"/>
    <m/>
    <d v="2026-05-15T00:00:00"/>
    <n v="8"/>
    <n v="0"/>
    <n v="192"/>
    <n v="72"/>
    <n v="41"/>
    <n v="36"/>
    <n v="4893"/>
    <s v="ТР5-1"/>
    <s v="Спуск Y-Tool."/>
    <s v="-"/>
    <m/>
    <m/>
    <m/>
    <s v="нет в перечне"/>
  </r>
  <r>
    <s v="1"/>
    <s v="26 КРС ООО &quot;ИНК-ТКРС&quot;"/>
    <m/>
    <m/>
    <s v="Mc_б/н"/>
    <m/>
    <d v="2026-05-15T00:00:00"/>
    <m/>
    <d v="2026-05-23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1"/>
    <s v="26 КРС ООО &quot;ИНК-ТКРС&quot;"/>
    <m/>
    <m/>
    <s v="Mr_1909"/>
    <n v="19"/>
    <d v="2026-05-23T00:00:00"/>
    <m/>
    <d v="2026-06-08T00:00:00"/>
    <n v="15"/>
    <n v="1"/>
    <n v="384"/>
    <n v="72"/>
    <n v="41"/>
    <n v="36"/>
    <n v="4893"/>
    <s v="КР1-2.2"/>
    <s v="Подъем Y-Tool, по результатам РИР."/>
    <s v="-"/>
    <m/>
    <m/>
    <m/>
    <s v="нет в перечне"/>
  </r>
  <r>
    <s v="1"/>
    <s v="27 КРС ООО &quot;ИНК-ТКРС&quot;"/>
    <s v="готов"/>
    <s v="выполняется"/>
    <s v="Mr_1506"/>
    <n v="15"/>
    <d v="2026-03-04T00:00:00"/>
    <d v="2026-03-06T00:00:00"/>
    <d v="2026-03-26T00:00:00"/>
    <n v="22"/>
    <n v="0"/>
    <n v="528"/>
    <n v="1000"/>
    <n v="0"/>
    <n v="0"/>
    <n v="0"/>
    <s v="КР10-1"/>
    <s v="Подъем пакера ППД, открываем все порты. Спуск 2-х ПО, ОП всех портов и заколонного пакера на гл.3409м. По результатам ОП предусмотреть, открытие портов и ОПЗ по 10м3 12% HCl на порт. Спуск пакера ППД."/>
    <s v="-"/>
    <m/>
    <m/>
    <m/>
    <s v="Высокий"/>
  </r>
  <r>
    <s v="1"/>
    <s v="27 КРС ООО &quot;ИНК-ТКРС&quot;"/>
    <m/>
    <s v="гнкт"/>
    <s v="Mr_1503"/>
    <n v="15"/>
    <d v="2026-03-26T00:00:00"/>
    <d v="2026-03-27T00:00:00"/>
    <d v="2026-04-05T00:00:00"/>
    <n v="10"/>
    <n v="0"/>
    <n v="240"/>
    <n v="246"/>
    <n v="64"/>
    <n v="76"/>
    <n v="368"/>
    <s v="ТР5-1"/>
    <s v="смена ЭЦН"/>
    <s v="-"/>
    <m/>
    <m/>
    <m/>
    <s v="-"/>
  </r>
  <r>
    <s v="1"/>
    <s v="27 КРС ООО &quot;ИНК-ТКРС&quot;"/>
    <m/>
    <m/>
    <s v="Mr_1505"/>
    <n v="15"/>
    <d v="2026-04-05T00:00:00"/>
    <m/>
    <d v="2026-04-15T00:00:00"/>
    <n v="10"/>
    <n v="0"/>
    <n v="240"/>
    <n v="1000"/>
    <n v="0"/>
    <n v="0"/>
    <n v="0"/>
    <s v="КР10-1"/>
    <s v="Остановка на ГДИС за 1 сут до постановки ТКРС. Подъем ЭЦН, СПО ПСШ, спуск пакера ППД. Определение приемистости."/>
    <s v="-"/>
    <m/>
    <m/>
    <m/>
    <s v="Высокий"/>
  </r>
  <r>
    <s v="1"/>
    <s v="27 КРС ООО &quot;ИНК-ТКРС&quot;"/>
    <m/>
    <m/>
    <s v="Mr_1504"/>
    <n v="15"/>
    <d v="2026-04-15T00:00:00"/>
    <m/>
    <d v="2026-04-23T00:00:00"/>
    <n v="8"/>
    <n v="0"/>
    <n v="192"/>
    <n v="450"/>
    <n v="65"/>
    <n v="153"/>
    <n v="87"/>
    <s v="ТР3-2"/>
    <s v="Оптимизация"/>
    <s v="-"/>
    <m/>
    <m/>
    <m/>
    <s v="низкий"/>
  </r>
  <r>
    <s v="1"/>
    <s v="27 КРС ООО &quot;ИНК-ТКРС&quot;"/>
    <m/>
    <m/>
    <s v="Mc_208"/>
    <n v="2"/>
    <d v="2026-04-23T00:00:00"/>
    <m/>
    <d v="2026-05-03T00:00:00"/>
    <n v="10"/>
    <n v="0"/>
    <n v="240"/>
    <n v="1000"/>
    <n v="0"/>
    <m/>
    <n v="0"/>
    <s v="КР9-1"/>
    <s v="Остановка на ГДИС за 1 сут до постановки ТКРС. Подъем ЭЦН, СПО ПСШ, спуск пакера ППД. Определение приемистости."/>
    <s v="-"/>
    <m/>
    <m/>
    <m/>
    <s v="низкий"/>
  </r>
  <r>
    <s v="1"/>
    <s v="27 КРС ООО &quot;ИНК-ТКРС&quot;"/>
    <m/>
    <m/>
    <s v="Mc_210"/>
    <n v="2"/>
    <d v="2026-05-03T00:00:00"/>
    <m/>
    <d v="2026-05-11T00:00:00"/>
    <n v="8"/>
    <n v="0"/>
    <n v="192"/>
    <m/>
    <m/>
    <m/>
    <m/>
    <s v="ТР11-1"/>
    <s v="Подъем ЭЦН, спуск воронки"/>
    <s v="-"/>
    <m/>
    <m/>
    <m/>
    <s v="низкий"/>
  </r>
  <r>
    <s v="1"/>
    <s v="27 КРС ООО &quot;ИНК-ТКРС&quot;"/>
    <m/>
    <m/>
    <s v="Mc_б/н"/>
    <m/>
    <d v="2026-05-11T00:00:00"/>
    <m/>
    <d v="2026-05-19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1"/>
    <s v="28 КРС ООО &quot;ИНК-ТКРС&quot;"/>
    <s v="готов"/>
    <s v="выполняется"/>
    <s v="Ma_204"/>
    <n v="1"/>
    <d v="2026-02-19T00:00:00"/>
    <m/>
    <d v="2026-03-31T00:00:00"/>
    <n v="37"/>
    <n v="3"/>
    <n v="960"/>
    <n v="15"/>
    <n v="0"/>
    <n v="12"/>
    <n v="1754"/>
    <s v="КР12-2"/>
    <s v="Разликвидация, ПР к ГРП на Pa (14 дней), ГРП, испытание (нужен газосепаратор), консервация/ликвидация."/>
    <s v="-"/>
    <m/>
    <m/>
    <m/>
    <s v="Средний "/>
  </r>
  <r>
    <s v="1"/>
    <s v="28 КРС ООО &quot;ИНК-ТКРС&quot;"/>
    <s v="готов"/>
    <m/>
    <s v="Ma_012г"/>
    <n v="12"/>
    <d v="2026-03-31T00:00:00"/>
    <m/>
    <d v="2026-04-01T00:00:00"/>
    <n v="0"/>
    <n v="1"/>
    <n v="36"/>
    <n v="0"/>
    <n v="0"/>
    <n v="0"/>
    <m/>
    <s v="КР11-1"/>
    <s v="извлечение  ЭЦВ с автокрана"/>
    <s v="-"/>
    <m/>
    <m/>
    <m/>
    <s v="нет в перечне"/>
  </r>
  <r>
    <s v="1"/>
    <s v="28 КРС ООО &quot;ИНК-ТКРС&quot;"/>
    <s v="готов"/>
    <m/>
    <s v="Ma_40г"/>
    <m/>
    <d v="2026-04-01T00:00:00"/>
    <m/>
    <d v="2026-04-02T00:00:00"/>
    <n v="0"/>
    <n v="0"/>
    <n v="12"/>
    <n v="0"/>
    <n v="0"/>
    <n v="0"/>
    <m/>
    <s v="КР11-1"/>
    <s v="извлечение  ЭЦВ с автокрана"/>
    <s v="-"/>
    <m/>
    <m/>
    <m/>
    <s v="нет в перечне"/>
  </r>
  <r>
    <s v="1"/>
    <s v="28 КРС ООО &quot;ИНК-ТКРС&quot;"/>
    <s v="готов"/>
    <m/>
    <s v="Ma_065_ma"/>
    <m/>
    <d v="2026-04-02T00:00:00"/>
    <d v="2026-03-31T00:00:00"/>
    <d v="2026-04-02T00:00:00"/>
    <n v="0"/>
    <n v="0"/>
    <n v="12"/>
    <n v="0"/>
    <n v="0"/>
    <n v="0"/>
    <m/>
    <s v="ТР14-1.2"/>
    <s v="восстановление тумбы ликвидированной скважины  "/>
    <s v="-"/>
    <m/>
    <m/>
    <m/>
    <s v="нет в перечне"/>
  </r>
  <r>
    <s v="1"/>
    <s v="28 КРС ООО &quot;ИНК-ТКРС&quot;"/>
    <m/>
    <m/>
    <s v="Ma_711"/>
    <n v="4"/>
    <d v="2026-04-02T00:00:00"/>
    <m/>
    <d v="2026-04-12T00:00:00"/>
    <n v="10"/>
    <n v="0"/>
    <n v="240"/>
    <n v="0"/>
    <n v="0"/>
    <n v="0"/>
    <n v="0"/>
    <s v="КР10-1"/>
    <s v="смена компоновки ППД"/>
    <s v="-"/>
    <m/>
    <m/>
    <m/>
    <s v="Высокий"/>
  </r>
  <r>
    <s v="1"/>
    <s v="28 КРС ООО &quot;ИНК-ТКРС&quot;"/>
    <m/>
    <s v="ож эцн"/>
    <s v="Ma_731"/>
    <n v="15"/>
    <d v="2026-04-12T00:00:00"/>
    <m/>
    <d v="2026-04-20T00:00:00"/>
    <n v="8"/>
    <n v="0"/>
    <n v="192"/>
    <n v="50"/>
    <n v="50"/>
    <n v="18"/>
    <n v="200"/>
    <s v="ТР5-1"/>
    <s v="спуск ЭЦН, отработка силами ЦДНГ или ЗОС (требует согласования)"/>
    <s v="-"/>
    <m/>
    <m/>
    <m/>
    <s v="Средний"/>
  </r>
  <r>
    <s v="1"/>
    <s v="28 КРС ООО &quot;ИНК-ТКРС&quot;"/>
    <m/>
    <m/>
    <s v="Ma_4402"/>
    <n v="44"/>
    <d v="2026-04-20T00:00:00"/>
    <m/>
    <d v="2026-04-28T00:00:00"/>
    <n v="8"/>
    <n v="0"/>
    <n v="192"/>
    <n v="200000"/>
    <n v="0"/>
    <n v="30"/>
    <n v="0"/>
    <s v="КР-ОС-6"/>
    <s v="ВНС с МГРП ГАЗ"/>
    <s v="25.03.2026"/>
    <d v="2026-04-01T00:00:00"/>
    <n v="12"/>
    <d v="2026-04-21T00:00:00"/>
    <s v="Средний"/>
  </r>
  <r>
    <s v="1"/>
    <s v="28 КРС ООО &quot;ИНК-ТКРС&quot;"/>
    <m/>
    <m/>
    <s v="Ma_705"/>
    <n v="5"/>
    <d v="2026-04-28T00:00:00"/>
    <m/>
    <d v="2026-05-06T00:00:00"/>
    <n v="8"/>
    <n v="0"/>
    <n v="192"/>
    <n v="0"/>
    <n v="0"/>
    <n v="0"/>
    <n v="0"/>
    <s v="ТР6-1"/>
    <s v="Прочие ГТМ ППД ГАЗ"/>
    <s v="-"/>
    <m/>
    <m/>
    <m/>
    <s v="низкий"/>
  </r>
  <r>
    <s v="1"/>
    <s v="28 КРС ООО &quot;ИНК-ТКРС&quot;"/>
    <s v="готов"/>
    <m/>
    <s v="Ma_002укпг"/>
    <m/>
    <d v="2026-05-06T00:00:00"/>
    <m/>
    <d v="2026-05-12T00:00:00"/>
    <n v="6"/>
    <n v="0"/>
    <n v="144"/>
    <n v="0"/>
    <n v="0"/>
    <n v="0"/>
    <m/>
    <s v="КР13-13"/>
    <s v="НЗ с извлечнием ЭК-178, ЭЦВ спускаем тот же"/>
    <s v="-"/>
    <m/>
    <m/>
    <m/>
    <s v="нет в перечне"/>
  </r>
  <r>
    <s v="1"/>
    <s v="28 КРС ООО &quot;ИНК-ТКРС&quot;"/>
    <s v="готов"/>
    <s v="ож эцн"/>
    <s v="Ma_204"/>
    <n v="1"/>
    <d v="2026-05-12T00:00:00"/>
    <m/>
    <d v="2026-05-20T00:00:00"/>
    <n v="8"/>
    <n v="0"/>
    <n v="192"/>
    <n v="15"/>
    <n v="0"/>
    <n v="12"/>
    <n v="1754"/>
    <s v="ТР5-1"/>
    <s v="смена ЭЦН на отказной скважине"/>
    <s v="-"/>
    <m/>
    <m/>
    <m/>
    <s v="Средний "/>
  </r>
  <r>
    <s v="1"/>
    <s v="28 КРС ООО &quot;ИНК-ТКРС&quot;"/>
    <m/>
    <m/>
    <s v="Ya_826"/>
    <n v="210"/>
    <d v="2026-05-20T00:00:00"/>
    <m/>
    <d v="2026-06-01T00:00:00"/>
    <n v="12"/>
    <n v="0"/>
    <n v="288"/>
    <n v="1037000"/>
    <n v="0"/>
    <n v="62"/>
    <n v="0"/>
    <s v="ТР6-1"/>
    <s v="Оптимизация НКТ 89-&gt;114, наработка 2995 суток, освоение ЗОС"/>
    <s v="-"/>
    <m/>
    <m/>
    <m/>
    <s v="Высокий"/>
  </r>
  <r>
    <s v="1"/>
    <s v="28 КРС ООО &quot;ИНК-ТКРС&quot;"/>
    <s v="готов"/>
    <m/>
    <s v="Ma_601г"/>
    <m/>
    <d v="2026-06-01T00:00:00"/>
    <m/>
    <d v="2026-06-02T00:00:00"/>
    <n v="0"/>
    <n v="0"/>
    <n v="12"/>
    <n v="0"/>
    <n v="0"/>
    <n v="0"/>
    <m/>
    <s v="КР11-1"/>
    <s v="извлечение  ЭЦВ с автокрана"/>
    <s v="-"/>
    <m/>
    <m/>
    <m/>
    <s v="нет в перечне"/>
  </r>
  <r>
    <s v="1"/>
    <s v="28 КРС ООО &quot;ИНК-ТКРС&quot;"/>
    <s v="готов"/>
    <m/>
    <s v="Ma_001пг"/>
    <m/>
    <d v="2026-06-02T00:00:00"/>
    <m/>
    <d v="2026-06-02T00:00:00"/>
    <n v="0"/>
    <n v="0"/>
    <n v="12"/>
    <n v="0"/>
    <n v="0"/>
    <n v="0"/>
    <m/>
    <s v="КР11-1"/>
    <s v="извлечение  ЭЦВ с автокрана"/>
    <s v="-"/>
    <m/>
    <m/>
    <m/>
    <s v="нет в перечне"/>
  </r>
  <r>
    <s v="1"/>
    <s v="28 КРС ООО &quot;ИНК-ТКРС&quot;"/>
    <s v="готов"/>
    <m/>
    <s v="Ma_44г"/>
    <m/>
    <d v="2026-06-02T00:00:00"/>
    <m/>
    <d v="2026-06-03T00:00:00"/>
    <n v="0"/>
    <n v="0"/>
    <n v="12"/>
    <n v="0"/>
    <n v="0"/>
    <n v="0"/>
    <m/>
    <s v="КР11-1"/>
    <s v="извлечение  ЭЦВ с автокрана"/>
    <s v="-"/>
    <m/>
    <m/>
    <m/>
    <s v="нет в перечне"/>
  </r>
  <r>
    <s v="2"/>
    <s v="30 КРС ООО &quot;ИНК-ТКРС&quot;"/>
    <s v="готов"/>
    <s v="выполняется"/>
    <s v="Vt_5003"/>
    <n v="50"/>
    <d v="2026-03-04T00:00:00"/>
    <m/>
    <d v="2026-03-19T00:00:00"/>
    <n v="15"/>
    <n v="0"/>
    <n v="360"/>
    <n v="226"/>
    <n v="9"/>
    <n v="139"/>
    <n v="213"/>
    <s v="КР13-2"/>
    <s v="ОТЗ, ОПЗ. ГИС МДСТ в ЭК 178мм"/>
    <s v="-"/>
    <m/>
    <m/>
    <m/>
    <s v="нет в перечне"/>
  </r>
  <r>
    <s v="2"/>
    <s v="30 КРС ООО &quot;ИНК-ТКРС&quot;"/>
    <m/>
    <m/>
    <s v="Btw_1606рс"/>
    <n v="16"/>
    <d v="2026-03-19T00:00:00"/>
    <m/>
    <d v="2026-03-25T00:00:00"/>
    <n v="6"/>
    <n v="0"/>
    <n v="144"/>
    <n v="327"/>
    <n v="0"/>
    <n v="0"/>
    <m/>
    <s v="ТР5-1"/>
    <s v="Смена ЭЦН "/>
    <s v="-"/>
    <m/>
    <m/>
    <m/>
    <s v="нет в перечне"/>
  </r>
  <r>
    <s v="2"/>
    <s v="30 КРС ООО &quot;ИНК-ТКРС&quot;"/>
    <m/>
    <m/>
    <s v="Btw_1605рс"/>
    <n v="16"/>
    <d v="2026-03-25T00:00:00"/>
    <d v="2026-03-23T00:00:00"/>
    <d v="2026-04-02T00:00:00"/>
    <n v="8"/>
    <n v="0"/>
    <n v="192"/>
    <n v="0"/>
    <n v="0"/>
    <n v="0"/>
    <m/>
    <s v="КР9-1"/>
    <s v="Перевод в ППД - Запись ГИС (источник обводнения),  спуск пакера."/>
    <s v="-"/>
    <m/>
    <m/>
    <m/>
    <s v="нет в перечне"/>
  </r>
  <r>
    <s v="2"/>
    <s v="30 КРС ООО &quot;ИНК-ТКРС&quot;"/>
    <m/>
    <m/>
    <s v="Btw_1603рс"/>
    <n v="16"/>
    <d v="2026-04-02T00:00:00"/>
    <d v="2026-03-31T00:00:00"/>
    <d v="2026-04-16T00:00:00"/>
    <n v="14"/>
    <n v="0"/>
    <n v="336"/>
    <n v="0"/>
    <n v="0"/>
    <n v="0"/>
    <m/>
    <s v="КР10-2"/>
    <s v="Ревизия пакера, НКТ. Лов.работы (манометры) "/>
    <s v="-"/>
    <m/>
    <m/>
    <m/>
    <s v="нет в перечне"/>
  </r>
  <r>
    <s v="2"/>
    <s v="30 КРС ООО &quot;ИНК-ТКРС&quot;"/>
    <m/>
    <m/>
    <s v="Bt_016г"/>
    <n v="16"/>
    <d v="2026-04-16T00:00:00"/>
    <m/>
    <d v="2026-04-22T00:00:00"/>
    <n v="6"/>
    <n v="0"/>
    <n v="144"/>
    <n v="0"/>
    <n v="0"/>
    <n v="0"/>
    <m/>
    <s v="ТР8-1"/>
    <s v="перевод в шурфовую"/>
    <s v="-"/>
    <m/>
    <m/>
    <m/>
    <s v="нет в перечне"/>
  </r>
  <r>
    <s v="2"/>
    <s v="30 КРС ООО &quot;ИНК-ТКРС&quot;"/>
    <m/>
    <m/>
    <s v="Vt_9430"/>
    <n v="94"/>
    <d v="2026-04-22T00:00:00"/>
    <m/>
    <d v="2026-05-02T00:00:00"/>
    <n v="10"/>
    <n v="0"/>
    <n v="240"/>
    <n v="0"/>
    <n v="0"/>
    <n v="0"/>
    <m/>
    <s v="КР-ОС-3"/>
    <s v="Перевод в ППД ( подъем Э-200-2400)"/>
    <s v="-"/>
    <m/>
    <m/>
    <m/>
    <s v="нет в перечне"/>
  </r>
  <r>
    <s v="2"/>
    <s v="30 КРС ООО &quot;ИНК-ТКРС&quot;"/>
    <m/>
    <m/>
    <s v="Vt_4540"/>
    <n v="45"/>
    <d v="2026-05-02T00:00:00"/>
    <m/>
    <d v="2026-05-07T00:00:00"/>
    <n v="5"/>
    <n v="0"/>
    <n v="120"/>
    <n v="0"/>
    <n v="0"/>
    <n v="0"/>
    <n v="100"/>
    <s v="ТР11-1"/>
    <s v="Извлечение ЭЦН-500-1800 "/>
    <s v="-"/>
    <m/>
    <m/>
    <m/>
    <s v="нет в перечне"/>
  </r>
  <r>
    <s v="2"/>
    <s v="30 КРС ООО &quot;ИНК-ТКРС&quot;"/>
    <m/>
    <m/>
    <s v="Vt_8940"/>
    <n v="89"/>
    <d v="2026-05-07T00:00:00"/>
    <m/>
    <d v="2026-05-12T00:00:00"/>
    <n v="5"/>
    <n v="0"/>
    <n v="120"/>
    <n v="0"/>
    <n v="0"/>
    <n v="0"/>
    <m/>
    <s v="ТР11-1"/>
    <s v="Извлечение ЭЦН-400-1800 "/>
    <s v="-"/>
    <m/>
    <m/>
    <m/>
    <s v="нет в перечне"/>
  </r>
  <r>
    <s v="2"/>
    <s v="30 КРС ООО &quot;ИНК-ТКРС&quot;"/>
    <m/>
    <m/>
    <s v="Vt_8101"/>
    <n v="81"/>
    <d v="2026-05-12T00:00:00"/>
    <m/>
    <d v="2026-05-17T00:00:00"/>
    <n v="5"/>
    <n v="0"/>
    <n v="120"/>
    <n v="0"/>
    <n v="0"/>
    <n v="0"/>
    <n v="0"/>
    <s v="ТР11-1"/>
    <s v="Извлечение ЭЦН-320-1650"/>
    <s v="29.01.2024"/>
    <m/>
    <m/>
    <m/>
    <s v="Не требуется"/>
  </r>
  <r>
    <s v="1"/>
    <s v="31 КРС ООО &quot;ИНК-ТКРС&quot;"/>
    <s v="готов"/>
    <s v="выполняется"/>
    <s v="Bt_1501"/>
    <n v="15"/>
    <d v="2026-02-21T00:00:00"/>
    <m/>
    <d v="2026-03-16T00:00:00"/>
    <n v="21"/>
    <n v="2"/>
    <n v="552"/>
    <n v="405"/>
    <n v="0"/>
    <n v="331"/>
    <n v="455"/>
    <s v="КР13-2"/>
    <s v="Подъем воронки, разбуривание МГРП,   НЗ и ОПЗ, спуск ЭЦН."/>
    <s v="-"/>
    <m/>
    <m/>
    <m/>
    <s v="-"/>
  </r>
  <r>
    <s v="1"/>
    <s v="31 КРС ООО &quot;ИНК-ТКРС&quot;"/>
    <s v="готов"/>
    <s v="ож нкт"/>
    <s v="Bt_1502"/>
    <n v="15"/>
    <d v="2026-03-16T00:00:00"/>
    <d v="2026-03-14T00:00:00"/>
    <d v="2026-03-22T00:00:00"/>
    <n v="6"/>
    <n v="0"/>
    <n v="144"/>
    <n v="250"/>
    <n v="0"/>
    <n v="205"/>
    <n v="0"/>
    <s v="КР7-2"/>
    <s v="ПР ГРП"/>
    <s v="-"/>
    <d v="2026-04-10T00:00:00"/>
    <n v="3"/>
    <d v="2026-04-16T00:00:00"/>
    <s v="Высокий"/>
  </r>
  <r>
    <s v="1"/>
    <s v="31 КРС ООО &quot;ИНК-ТКРС&quot;"/>
    <m/>
    <m/>
    <s v="Bt_1503"/>
    <n v="15"/>
    <d v="2026-03-22T00:00:00"/>
    <d v="2026-03-20T00:00:00"/>
    <d v="2026-03-30T00:00:00"/>
    <n v="8"/>
    <n v="0"/>
    <n v="192"/>
    <n v="81"/>
    <n v="1"/>
    <n v="65"/>
    <n v="373"/>
    <s v="ТР5-1"/>
    <s v="Подъем воронки, спуск ЭЦН."/>
    <s v="-"/>
    <m/>
    <m/>
    <m/>
    <s v="Средний"/>
  </r>
  <r>
    <s v="1"/>
    <s v="31 КРС ООО &quot;ИНК-ТКРС&quot;"/>
    <m/>
    <m/>
    <s v="Bt_502"/>
    <n v="5"/>
    <d v="2026-03-30T00:00:00"/>
    <d v="2026-03-28T00:00:00"/>
    <d v="2026-04-13T00:00:00"/>
    <n v="14"/>
    <n v="0"/>
    <n v="336"/>
    <n v="41"/>
    <n v="0"/>
    <n v="27"/>
    <n v="0"/>
    <s v="КР13-2"/>
    <s v="Расконсервация, спусктить воронку с ПМ и освоить ПАУ. гис прописать и сразу спустить ЭЦН"/>
    <s v="-"/>
    <m/>
    <m/>
    <m/>
    <s v="Средний"/>
  </r>
  <r>
    <s v="1"/>
    <s v="31 КРС ООО &quot;ИНК-ТКРС&quot;"/>
    <m/>
    <m/>
    <s v="Bt_005"/>
    <n v="5"/>
    <d v="2026-04-13T00:00:00"/>
    <m/>
    <d v="2026-04-27T00:00:00"/>
    <n v="14"/>
    <n v="0"/>
    <n v="336"/>
    <n v="41"/>
    <n v="0"/>
    <n v="27"/>
    <n v="0"/>
    <s v="КР13-2"/>
    <s v="Расконсервация, спусктить воронку с ПМ и освоить ПАУ. гис прописать и сразу спустить ЭЦН"/>
    <s v="-"/>
    <m/>
    <m/>
    <m/>
    <s v="Средний"/>
  </r>
  <r>
    <s v="1"/>
    <s v="31 КРС ООО &quot;ИНК-ТКРС&quot;"/>
    <m/>
    <s v="ож эцн"/>
    <s v="Ic_б/н"/>
    <m/>
    <d v="2026-04-27T00:00:00"/>
    <m/>
    <d v="2026-05-05T00:00:00"/>
    <n v="8"/>
    <n v="0"/>
    <n v="192"/>
    <n v="41"/>
    <n v="0"/>
    <n v="27"/>
    <m/>
    <s v="ТР5-1"/>
    <s v="Смена ЭЦН на отказной скважине"/>
    <s v="-"/>
    <m/>
    <m/>
    <m/>
    <s v="нет в перечне"/>
  </r>
  <r>
    <s v="1"/>
    <s v="31 КРС ООО &quot;ИНК-ТКРС&quot;"/>
    <m/>
    <s v="ож эцн"/>
    <s v="Ic_б/н"/>
    <m/>
    <d v="2026-05-05T00:00:00"/>
    <m/>
    <d v="2026-05-13T00:00:00"/>
    <n v="8"/>
    <n v="0"/>
    <n v="192"/>
    <n v="41"/>
    <n v="0"/>
    <n v="27"/>
    <m/>
    <s v="ТР5-1"/>
    <s v="Смена ЭЦН на отказной скважине"/>
    <s v="-"/>
    <m/>
    <m/>
    <m/>
    <s v="нет в перечне"/>
  </r>
  <r>
    <s v="2"/>
    <s v="33 КРС ООО &quot;ИНК-ТКРС&quot;"/>
    <s v="готов"/>
    <s v="выполняется"/>
    <s v="33-Г-Vt"/>
    <n v="33"/>
    <d v="2026-03-05T00:00:00"/>
    <m/>
    <d v="2026-03-07T00:00:00"/>
    <n v="2"/>
    <n v="0"/>
    <n v="48"/>
    <n v="0"/>
    <n v="0"/>
    <n v="0"/>
    <m/>
    <s v="ТР8-1"/>
    <s v="Смена ЭЦН на отказной скважине"/>
    <s v="-"/>
    <m/>
    <m/>
    <m/>
    <s v="нет в перечне"/>
  </r>
  <r>
    <s v="2"/>
    <s v="33 КРС ООО &quot;ИНК-ТКРС&quot;"/>
    <s v="готов"/>
    <s v="эцн в налич"/>
    <s v="Vt_8811"/>
    <n v="88"/>
    <d v="2026-03-07T00:00:00"/>
    <d v="2026-03-04T00:00:00"/>
    <d v="2026-03-21T00:00:00"/>
    <n v="14"/>
    <n v="0"/>
    <n v="336"/>
    <n v="287"/>
    <n v="35"/>
    <n v="151"/>
    <n v="320"/>
    <s v="КР-ОС-6"/>
    <s v=" спуск ЭЦН."/>
    <s v="10.02.2026"/>
    <m/>
    <m/>
    <m/>
    <s v="Высокий"/>
  </r>
  <r>
    <s v="2"/>
    <s v="33 КРС ООО &quot;ИНК-ТКРС&quot;"/>
    <m/>
    <s v="меш"/>
    <s v="Vt_8810"/>
    <n v="88"/>
    <d v="2026-03-21T00:00:00"/>
    <d v="2026-03-18T00:00:00"/>
    <d v="2026-04-10T00:00:00"/>
    <n v="20"/>
    <n v="0"/>
    <n v="480"/>
    <n v="263"/>
    <n v="30"/>
    <n v="149"/>
    <n v="320"/>
    <s v="КР-ОС-8"/>
    <s v="нормализация забоя"/>
    <s v="-"/>
    <m/>
    <m/>
    <m/>
    <s v="ВНР"/>
  </r>
  <r>
    <s v="2"/>
    <s v="33 КРС ООО &quot;ИНК-ТКРС&quot;"/>
    <s v="готов"/>
    <m/>
    <s v="Ur_002"/>
    <m/>
    <d v="2026-04-10T00:00:00"/>
    <m/>
    <d v="2026-04-30T00:00:00"/>
    <n v="20"/>
    <n v="0"/>
    <n v="480"/>
    <n v="0"/>
    <n v="0"/>
    <n v="0"/>
    <m/>
    <s v="КР10-1"/>
    <s v="консервация"/>
    <s v="-"/>
    <m/>
    <n v="5"/>
    <d v="2026-02-27T00:00:00"/>
    <s v="Высокий"/>
  </r>
  <r>
    <s v="2"/>
    <s v="33 КРС ООО &quot;ИНК-ТКРС&quot;"/>
    <m/>
    <s v="ож готовн устья"/>
    <s v="Vt_088г"/>
    <n v="88"/>
    <d v="2026-04-30T00:00:00"/>
    <m/>
    <d v="2026-05-01T00:00:00"/>
    <n v="1"/>
    <n v="0"/>
    <n v="24"/>
    <n v="0"/>
    <n v="0"/>
    <n v="0"/>
    <m/>
    <s v="ТР8-1"/>
    <s v="извлечение ЭЦВ с автокрана"/>
    <s v="-"/>
    <m/>
    <m/>
    <m/>
    <s v="нет в перечне"/>
  </r>
  <r>
    <s v="2"/>
    <s v="33 КРС ООО &quot;ИНК-ТКРС&quot;"/>
    <m/>
    <m/>
    <s v="Vt_б/н"/>
    <m/>
    <d v="2026-05-01T00:00:00"/>
    <m/>
    <d v="2026-05-09T00:00:00"/>
    <n v="8"/>
    <n v="0"/>
    <n v="192"/>
    <n v="0"/>
    <n v="0"/>
    <m/>
    <m/>
    <s v="ТР5-1"/>
    <s v="Смена ЭЦН на отказной скважине"/>
    <s v="-"/>
    <m/>
    <m/>
    <m/>
    <s v="нет в перечне"/>
  </r>
  <r>
    <s v="2"/>
    <s v="33 КРС ООО &quot;ИНК-ТКРС&quot;"/>
    <m/>
    <m/>
    <s v="Vt_б/н"/>
    <m/>
    <d v="2026-05-09T00:00:00"/>
    <m/>
    <d v="2026-05-17T00:00:00"/>
    <n v="8"/>
    <n v="0"/>
    <n v="192"/>
    <n v="0"/>
    <n v="0"/>
    <m/>
    <m/>
    <s v="ТР5-1"/>
    <s v="Смена ЭЦН на отказной скважине"/>
    <s v="-"/>
    <m/>
    <m/>
    <m/>
    <s v="нет в перечне"/>
  </r>
  <r>
    <s v="2"/>
    <s v="33 КРС ООО &quot;ИНК-ТКРС&quot;"/>
    <m/>
    <s v="ож готовн устья"/>
    <s v="Vt_088г"/>
    <n v="88"/>
    <d v="2026-05-17T00:00:00"/>
    <m/>
    <d v="2026-05-19T00:00:00"/>
    <n v="2"/>
    <n v="0"/>
    <n v="48"/>
    <n v="0"/>
    <n v="0"/>
    <n v="0"/>
    <m/>
    <s v="ТР8-1"/>
    <s v="спуск ЭЦН после подготовки устья"/>
    <s v="-"/>
    <m/>
    <m/>
    <m/>
    <s v="нет в перечне"/>
  </r>
  <r>
    <s v="2"/>
    <s v="33 КРС ООО &quot;ИНК-ТКРС&quot;"/>
    <s v="готов"/>
    <s v="ож эцн"/>
    <s v="Vt_17702"/>
    <n v="177"/>
    <d v="2026-05-19T00:00:00"/>
    <m/>
    <d v="2026-05-27T00:00:00"/>
    <n v="8"/>
    <n v="0"/>
    <n v="192"/>
    <n v="108"/>
    <n v="50"/>
    <n v="20"/>
    <n v="320"/>
    <s v="ТР5-1"/>
    <s v="Смена ЭЦН на отказной скважине"/>
    <s v="02.09.2025"/>
    <m/>
    <m/>
    <m/>
    <s v="Средний"/>
  </r>
  <r>
    <s v="2"/>
    <s v="33 КРС ООО &quot;ИНК-ТКРС&quot;"/>
    <m/>
    <m/>
    <s v="Vt_б/н"/>
    <m/>
    <d v="2026-05-27T00:00:00"/>
    <m/>
    <d v="2026-06-04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3 КРС ООО &quot;ИНК-ТКРС&quot;"/>
    <m/>
    <m/>
    <s v="Ic_011вз"/>
    <n v="1"/>
    <d v="2026-06-04T00:00:00"/>
    <m/>
    <d v="2026-06-07T00:00:00"/>
    <n v="3"/>
    <n v="0"/>
    <n v="72"/>
    <n v="0"/>
    <n v="0"/>
    <n v="0"/>
    <n v="100"/>
    <s v="ТР11-1"/>
    <s v="Извлечение ЭЦН"/>
    <s v="-"/>
    <m/>
    <m/>
    <m/>
    <s v="нет в перечне"/>
  </r>
  <r>
    <s v="2"/>
    <s v="33 КРС ООО &quot;ИНК-ТКРС&quot;"/>
    <m/>
    <m/>
    <s v="Ic_001г"/>
    <m/>
    <d v="2026-06-07T00:00:00"/>
    <m/>
    <d v="2026-06-10T00:00:00"/>
    <n v="3"/>
    <n v="0"/>
    <n v="72"/>
    <n v="0"/>
    <n v="0"/>
    <n v="0"/>
    <n v="100"/>
    <s v="ТР11-1"/>
    <s v="Извлечение ЭЦН"/>
    <s v="-"/>
    <m/>
    <m/>
    <m/>
    <s v="нет в перечне"/>
  </r>
  <r>
    <s v="2"/>
    <s v="33 КРС ООО &quot;ИНК-ТКРС&quot;"/>
    <m/>
    <s v="ож эцн"/>
    <s v="Ic_001"/>
    <n v="1"/>
    <d v="2026-06-10T00:00:00"/>
    <m/>
    <d v="2026-06-18T00:00:00"/>
    <n v="8"/>
    <n v="0"/>
    <n v="192"/>
    <n v="58"/>
    <n v="90"/>
    <n v="5"/>
    <n v="351"/>
    <s v="ТР5-1"/>
    <s v="Смена ЭЦН на отказной скважине"/>
    <s v="-"/>
    <m/>
    <m/>
    <m/>
    <s v="Средний"/>
  </r>
  <r>
    <s v="2"/>
    <s v="33 КРС ООО &quot;ИНК-ТКРС&quot;"/>
    <m/>
    <s v="ож эцн"/>
    <s v="Vt_302"/>
    <n v="15"/>
    <d v="2026-06-18T00:00:00"/>
    <m/>
    <d v="2026-06-26T00:00:00"/>
    <n v="8"/>
    <n v="0"/>
    <n v="192"/>
    <n v="48"/>
    <n v="80"/>
    <n v="8"/>
    <n v="232"/>
    <s v="ТР5-1"/>
    <s v="смена ЭЦН на отказной скважине"/>
    <s v="-"/>
    <m/>
    <m/>
    <m/>
    <s v="Средний"/>
  </r>
  <r>
    <s v="2"/>
    <s v="34 КРС ООО &quot;ИНК-ТКРС&quot;"/>
    <s v="готов"/>
    <s v="выполняется"/>
    <s v="Vt_8803"/>
    <n v="88"/>
    <d v="2026-02-17T00:00:00"/>
    <m/>
    <d v="2026-03-15T00:00:00"/>
    <n v="24"/>
    <n v="2"/>
    <n v="624"/>
    <n v="218"/>
    <n v="15"/>
    <n v="152"/>
    <n v="363"/>
    <s v="КР13-2"/>
    <s v="НЗ, ОПЗ, (возможно ПВР) смена эцн на отказной скважине"/>
    <s v="-"/>
    <m/>
    <m/>
    <m/>
    <s v="-"/>
  </r>
  <r>
    <s v="2"/>
    <s v="34 КРС ООО &quot;ИНК-ТКРС&quot;"/>
    <s v="готов"/>
    <s v="ож эцн"/>
    <s v="Vt_8804"/>
    <n v="88"/>
    <d v="2026-03-15T00:00:00"/>
    <d v="2026-03-13T00:00:00"/>
    <d v="2026-03-29T00:00:00"/>
    <n v="14"/>
    <n v="0"/>
    <n v="336"/>
    <n v="80"/>
    <n v="20"/>
    <n v="52"/>
    <n v="245"/>
    <s v="КР7-1"/>
    <s v="Смена ЭЦН, НЗ, ОПЗ"/>
    <s v="-"/>
    <m/>
    <m/>
    <m/>
    <s v="Средний"/>
  </r>
  <r>
    <s v="2"/>
    <s v="34 КРС ООО &quot;ИНК-ТКРС&quot;"/>
    <m/>
    <s v="ож эцн"/>
    <s v="Ic_924"/>
    <n v="2"/>
    <d v="2026-03-29T00:00:00"/>
    <d v="2026-03-27T00:00:00"/>
    <d v="2026-04-06T00:00:00"/>
    <n v="8"/>
    <n v="0"/>
    <n v="192"/>
    <n v="937"/>
    <n v="97"/>
    <n v="23"/>
    <n v="320"/>
    <s v="ТР5-1"/>
    <s v=" ОПР Петро-Кемикал!!!!_x000a_Смена ЭЦН на отказной скважине"/>
    <s v="-"/>
    <m/>
    <m/>
    <m/>
    <s v="Средний"/>
  </r>
  <r>
    <s v="2"/>
    <s v="34 КРС ООО &quot;ИНК-ТКРС&quot;"/>
    <m/>
    <m/>
    <s v="Vt_8410"/>
    <n v="84"/>
    <d v="2026-04-06T00:00:00"/>
    <m/>
    <d v="2026-04-16T00:00:00"/>
    <n v="10"/>
    <n v="0"/>
    <n v="240"/>
    <n v="600"/>
    <n v="0"/>
    <n v="0"/>
    <n v="0"/>
    <s v="КР9-1"/>
    <s v="Перевод в  ППД."/>
    <s v="-"/>
    <m/>
    <m/>
    <m/>
    <s v="Средний"/>
  </r>
  <r>
    <s v="2"/>
    <s v="34 КРС ООО &quot;ИНК-ТКРС&quot;"/>
    <s v="пр нет"/>
    <s v="ож эцн"/>
    <s v="Vt_094г"/>
    <n v="94"/>
    <d v="2026-04-16T00:00:00"/>
    <m/>
    <d v="2026-04-18T00:00:00"/>
    <n v="2"/>
    <n v="0"/>
    <n v="48"/>
    <n v="160"/>
    <n v="0"/>
    <n v="0"/>
    <m/>
    <s v="ТР8-1"/>
    <s v="деоптимизация. С автокрана"/>
    <s v="-"/>
    <m/>
    <m/>
    <m/>
    <s v="нет в перечне"/>
  </r>
  <r>
    <s v="2"/>
    <s v="34 КРС ООО &quot;ИНК-ТКРС&quot;"/>
    <m/>
    <m/>
    <s v="Vt_б/н"/>
    <m/>
    <d v="2026-04-18T00:00:00"/>
    <m/>
    <d v="2026-04-26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4 КРС ООО &quot;ИНК-ТКРС&quot;"/>
    <m/>
    <m/>
    <s v="Vt_б/н"/>
    <m/>
    <d v="2026-04-26T00:00:00"/>
    <m/>
    <d v="2026-05-04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4 КРС ООО &quot;ИНК-ТКРС&quot;"/>
    <m/>
    <m/>
    <s v="Vt_б/н"/>
    <m/>
    <d v="2026-05-04T00:00:00"/>
    <m/>
    <d v="2026-05-12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4 КРС ООО &quot;ИНК-ТКРС&quot;"/>
    <s v="готов"/>
    <s v="эцн в налич"/>
    <s v="Vt_9407"/>
    <n v="94"/>
    <d v="2026-05-12T00:00:00"/>
    <m/>
    <d v="2026-05-18T00:00:00"/>
    <n v="6"/>
    <n v="0"/>
    <n v="144"/>
    <n v="75"/>
    <n v="65"/>
    <n v="21"/>
    <n v="318"/>
    <s v="ТР5-1"/>
    <s v="Смена ЭЦН на отказной скважине"/>
    <s v="-"/>
    <m/>
    <m/>
    <m/>
    <s v="Средний"/>
  </r>
  <r>
    <s v="2"/>
    <s v="34 КРС ООО &quot;ИНК-ТКРС&quot;"/>
    <m/>
    <s v="эцн в налич"/>
    <s v="Vt_9405"/>
    <n v="94"/>
    <d v="2026-05-18T00:00:00"/>
    <m/>
    <d v="2026-05-26T00:00:00"/>
    <n v="8"/>
    <n v="0"/>
    <n v="192"/>
    <n v="400"/>
    <n v="96"/>
    <n v="13"/>
    <n v="289"/>
    <s v="ТР5-1"/>
    <s v="Смена ЭЦН на отказной скважине"/>
    <s v="-"/>
    <m/>
    <m/>
    <m/>
    <s v="низкий"/>
  </r>
  <r>
    <s v="2"/>
    <s v="34 КРС ООО &quot;ИНК-ТКРС&quot;"/>
    <m/>
    <s v="ож эцн"/>
    <s v="Ic_960"/>
    <n v="6"/>
    <d v="2026-05-26T00:00:00"/>
    <m/>
    <d v="2026-06-05T00:00:00"/>
    <n v="10"/>
    <n v="0"/>
    <n v="240"/>
    <n v="32"/>
    <n v="2"/>
    <n v="25"/>
    <n v="239"/>
    <s v="ТР5-1"/>
    <s v="Смена ЭЦН на отказной скважине_x000a_опрессовываем лифт перед подъёмом, в случае зафиксированного падения давления будет поинтервальная опрессовка"/>
    <s v="-"/>
    <m/>
    <m/>
    <m/>
    <s v="Средний"/>
  </r>
  <r>
    <s v="2"/>
    <s v="34 КРС ООО &quot;ИНК-ТКРС&quot;"/>
    <m/>
    <s v="ож эцн"/>
    <s v="Vt_631"/>
    <n v="19"/>
    <d v="2026-06-05T00:00:00"/>
    <m/>
    <d v="2026-06-13T00:00:00"/>
    <n v="8"/>
    <n v="0"/>
    <n v="192"/>
    <n v="236"/>
    <n v="89"/>
    <n v="21"/>
    <n v="976"/>
    <s v="ТР5-1"/>
    <s v="Смена ЭЦН на отказной скважине"/>
    <s v="-"/>
    <m/>
    <m/>
    <m/>
    <s v="Средний"/>
  </r>
  <r>
    <s v="2"/>
    <s v="34 КРС ООО &quot;ИНК-ТКРС&quot;"/>
    <m/>
    <m/>
    <s v="Vt_б/н"/>
    <m/>
    <d v="2026-06-13T00:00:00"/>
    <m/>
    <d v="2026-06-2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4 КРС ООО &quot;ИНК-ТКРС&quot;"/>
    <m/>
    <m/>
    <s v="Vt_б/н"/>
    <m/>
    <d v="2026-06-21T00:00:00"/>
    <m/>
    <d v="2026-06-29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5 КРС ООО &quot;ИНК-ТКРС&quot;"/>
    <s v="готов"/>
    <s v="выполняется"/>
    <s v="Vt_4607"/>
    <n v="46"/>
    <d v="2026-02-17T00:00:00"/>
    <m/>
    <d v="2026-03-16T00:00:00"/>
    <n v="25"/>
    <n v="2"/>
    <n v="648"/>
    <n v="210"/>
    <n v="30"/>
    <n v="121"/>
    <n v="1623"/>
    <s v="КР13-2"/>
    <s v="НЗ по рез-ту ПВР, ОПЗ, спуск ЭЦН"/>
    <s v="-"/>
    <m/>
    <m/>
    <m/>
    <s v="-"/>
  </r>
  <r>
    <s v="2"/>
    <s v="35 КРС ООО &quot;ИНК-ТКРС&quot;"/>
    <m/>
    <m/>
    <s v="Ya_б/н"/>
    <m/>
    <d v="2026-03-16T00:00:00"/>
    <m/>
    <d v="2026-03-24T00:00:00"/>
    <n v="7"/>
    <n v="1"/>
    <n v="192"/>
    <n v="0"/>
    <n v="0"/>
    <n v="0"/>
    <m/>
    <s v="ТР5-1"/>
    <s v="Смена ЭЦН на отказной скважине"/>
    <s v="-"/>
    <m/>
    <m/>
    <m/>
    <s v="нет в перечне"/>
  </r>
  <r>
    <s v="2"/>
    <s v="35 КРС ООО &quot;ИНК-ТКРС&quot;"/>
    <s v="готов"/>
    <m/>
    <s v="Au_9701"/>
    <n v="97"/>
    <d v="2026-03-24T00:00:00"/>
    <d v="2026-03-16T00:00:00"/>
    <d v="2026-04-09T00:00:00"/>
    <n v="16"/>
    <n v="0"/>
    <n v="384"/>
    <n v="75"/>
    <n v="90"/>
    <n v="6"/>
    <n v="195"/>
    <s v="КР7-2"/>
    <s v="ПР к ГРП. Закрытие муфты №3 ключем &quot;Зенит&quot;"/>
    <s v="Пробурена "/>
    <d v="2026-05-06T00:00:00"/>
    <n v="1"/>
    <d v="2026-05-08T00:00:00"/>
    <s v="Средний"/>
  </r>
  <r>
    <s v="2"/>
    <s v="35 КРС ООО &quot;ИНК-ТКРС&quot;"/>
    <m/>
    <s v="ож эцн"/>
    <s v="Ki_71610г"/>
    <n v="716"/>
    <d v="2026-04-09T00:00:00"/>
    <m/>
    <d v="2026-04-17T00:00:00"/>
    <n v="8"/>
    <n v="0"/>
    <n v="192"/>
    <m/>
    <n v="0"/>
    <n v="0"/>
    <n v="0"/>
    <s v="КР-ОС-7"/>
    <s v="спуск ЭЦН, испытание"/>
    <s v="-"/>
    <m/>
    <m/>
    <m/>
    <s v="Средний"/>
  </r>
  <r>
    <s v="2"/>
    <s v="35 КРС ООО &quot;ИНК-ТКРС&quot;"/>
    <m/>
    <s v="ож подгот"/>
    <s v="Ki_71602"/>
    <n v="716"/>
    <d v="2026-04-17T00:00:00"/>
    <m/>
    <d v="2026-04-25T00:00:00"/>
    <n v="8"/>
    <n v="0"/>
    <n v="192"/>
    <n v="500"/>
    <n v="98"/>
    <n v="8"/>
    <n v="430"/>
    <s v="КР-ОС-8"/>
    <s v="Спуск Э-500, отработка силами ЗОС"/>
    <s v="Пробурена "/>
    <m/>
    <m/>
    <m/>
    <s v="Средний"/>
  </r>
  <r>
    <s v="2"/>
    <s v="35 КРС ООО &quot;ИНК-ТКРС&quot;"/>
    <m/>
    <m/>
    <s v="Az_870"/>
    <n v="220"/>
    <d v="2026-04-25T00:00:00"/>
    <m/>
    <d v="2026-05-05T00:00:00"/>
    <n v="10"/>
    <n v="0"/>
    <n v="240"/>
    <n v="0"/>
    <n v="0"/>
    <n v="0"/>
    <n v="0"/>
    <s v="ТР6-1"/>
    <s v="Прочие ГТМ ППД ГАЗ"/>
    <s v="-"/>
    <m/>
    <m/>
    <m/>
    <s v="низкий"/>
  </r>
  <r>
    <s v="2"/>
    <s v="35 КРС ООО &quot;ИНК-ТКРС&quot;"/>
    <m/>
    <m/>
    <s v="Ya_107"/>
    <n v="69"/>
    <d v="2026-05-05T00:00:00"/>
    <m/>
    <d v="2026-05-13T00:00:00"/>
    <n v="8"/>
    <n v="0"/>
    <n v="192"/>
    <n v="954"/>
    <n v="98"/>
    <n v="13"/>
    <n v="600"/>
    <s v="КР13-2"/>
    <s v="НЗ, снижение притока"/>
    <s v="-"/>
    <m/>
    <m/>
    <m/>
    <s v="Высокий"/>
  </r>
  <r>
    <s v="2"/>
    <s v="35 КРС ООО &quot;ИНК-ТКРС&quot;"/>
    <m/>
    <s v="ож эцн"/>
    <s v="Ya_104"/>
    <n v="3"/>
    <d v="2026-05-13T00:00:00"/>
    <m/>
    <d v="2026-05-21T00:00:00"/>
    <n v="8"/>
    <n v="0"/>
    <n v="192"/>
    <n v="476"/>
    <n v="97"/>
    <n v="12"/>
    <n v="239"/>
    <s v="ТР5-1"/>
    <s v="Смена ЭЦН на отказной скважине"/>
    <s v="-"/>
    <m/>
    <m/>
    <m/>
    <s v="Высокий"/>
  </r>
  <r>
    <s v="2"/>
    <s v="35 КРС ООО &quot;ИНК-ТКРС&quot;"/>
    <m/>
    <s v="ож эцн"/>
    <s v="Au_520"/>
    <n v="105"/>
    <d v="2026-05-21T00:00:00"/>
    <m/>
    <d v="2026-05-29T00:00:00"/>
    <n v="8"/>
    <n v="0"/>
    <n v="192"/>
    <n v="184"/>
    <n v="97"/>
    <n v="5"/>
    <n v="1355"/>
    <s v="ТР5-1"/>
    <s v="Смена ЭЦН на отказной скважине"/>
    <s v="-"/>
    <m/>
    <m/>
    <m/>
    <s v="Средний "/>
  </r>
  <r>
    <s v="2"/>
    <s v="35 КРС ООО &quot;ИНК-ТКРС&quot;"/>
    <m/>
    <s v="ож эцн"/>
    <s v="Ya_272"/>
    <n v="65"/>
    <d v="2026-05-29T00:00:00"/>
    <m/>
    <d v="2026-06-06T00:00:00"/>
    <n v="8"/>
    <n v="0"/>
    <n v="192"/>
    <n v="40"/>
    <n v="91"/>
    <n v="3"/>
    <n v="111"/>
    <s v="ТР5-1"/>
    <s v="Смена ЭЦН на отказной скважине"/>
    <s v="-"/>
    <m/>
    <m/>
    <m/>
    <s v="низкий"/>
  </r>
  <r>
    <s v="1"/>
    <s v="36 КРС ООО &quot;ИНК-ТКРС&quot;"/>
    <s v="готов"/>
    <s v="выполняется"/>
    <s v="Msh_3703"/>
    <n v="37"/>
    <d v="2026-02-26T00:00:00"/>
    <m/>
    <d v="2026-03-14T00:00:00"/>
    <n v="16"/>
    <n v="0"/>
    <n v="384"/>
    <n v="800"/>
    <n v="0"/>
    <n v="22"/>
    <n v="0"/>
    <s v="КР9-1"/>
    <s v="перевод в ППД"/>
    <s v="-"/>
    <m/>
    <m/>
    <m/>
    <s v="Высокий"/>
  </r>
  <r>
    <s v="1"/>
    <s v="36 КРС ООО &quot;ИНК-ТКРС&quot;"/>
    <m/>
    <s v="ож грп"/>
    <s v="Msh_3709"/>
    <n v="37"/>
    <d v="2026-03-14T00:00:00"/>
    <d v="2026-03-28T00:00:00"/>
    <d v="2026-03-29T00:00:00"/>
    <n v="14"/>
    <n v="1"/>
    <n v="360"/>
    <n v="67"/>
    <n v="35"/>
    <n v="36"/>
    <n v="500"/>
    <s v="КР-ОС-6"/>
    <s v="ЗР ГРП, с разбуриванием муфт спуск ЭЦН"/>
    <s v="12.01.2026"/>
    <m/>
    <n v="5"/>
    <d v="2026-03-15T00:00:00"/>
    <s v="Высокий "/>
  </r>
  <r>
    <s v="1"/>
    <s v="36 КРС ООО &quot;ИНК-ТКРС&quot;"/>
    <m/>
    <m/>
    <s v="Ya_б/н"/>
    <m/>
    <d v="2026-03-29T00:00:00"/>
    <m/>
    <d v="2026-04-05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1"/>
    <s v="36 КРС ООО &quot;ИНК-ТКРС&quot;"/>
    <m/>
    <m/>
    <s v="Ya_б/н"/>
    <m/>
    <d v="2026-04-05T00:00:00"/>
    <m/>
    <d v="2026-04-12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1"/>
    <s v="36 КРС ООО &quot;ИНК-ТКРС&quot;"/>
    <m/>
    <m/>
    <s v="Msh_7010г"/>
    <n v="70"/>
    <d v="2026-04-12T00:00:00"/>
    <m/>
    <d v="2026-04-15T00:00:00"/>
    <n v="3"/>
    <n v="0"/>
    <n v="72"/>
    <n v="500"/>
    <n v="0"/>
    <n v="11"/>
    <n v="0"/>
    <s v="ТР8-1"/>
    <s v="смена ЭЦВ на ЭЦН"/>
    <s v="-"/>
    <m/>
    <m/>
    <m/>
    <s v="Высокий"/>
  </r>
  <r>
    <s v="1"/>
    <s v="36 КРС ООО &quot;ИНК-ТКРС&quot;"/>
    <m/>
    <m/>
    <s v="Ya_520"/>
    <n v="36"/>
    <d v="2026-04-15T00:00:00"/>
    <m/>
    <d v="2026-04-25T00:00:00"/>
    <n v="10"/>
    <n v="0"/>
    <n v="240"/>
    <n v="1300"/>
    <n v="90"/>
    <n v="108"/>
    <n v="150"/>
    <s v="КР7-2"/>
    <s v="ПР к ГРП"/>
    <s v="-"/>
    <d v="2026-05-03T00:00:00"/>
    <n v="1"/>
    <d v="2026-05-05T00:00:00"/>
    <s v="Средний "/>
  </r>
  <r>
    <s v="1"/>
    <s v="36 КРС ООО &quot;ИНК-ТКРС&quot;"/>
    <s v="готов"/>
    <m/>
    <s v="Msh_3706"/>
    <n v="37"/>
    <d v="2026-04-25T00:00:00"/>
    <m/>
    <d v="2026-05-06T00:00:00"/>
    <n v="11"/>
    <n v="0"/>
    <n v="264"/>
    <n v="1100"/>
    <n v="0"/>
    <n v="31"/>
    <n v="0"/>
    <s v="КР9-1"/>
    <s v="перевод в ППД"/>
    <s v="-"/>
    <m/>
    <m/>
    <m/>
    <s v="Высокий"/>
  </r>
  <r>
    <s v="1"/>
    <s v="36 КРС ООО &quot;ИНК-ТКРС&quot;"/>
    <m/>
    <s v="ож грп"/>
    <s v="Ki_8901"/>
    <n v="89"/>
    <d v="2026-05-06T00:00:00"/>
    <m/>
    <d v="2026-05-15T00:00:00"/>
    <n v="9"/>
    <n v="0"/>
    <n v="216"/>
    <n v="165800"/>
    <n v="0"/>
    <n v="20"/>
    <n v="165800"/>
    <s v="КР-ОС-6"/>
    <s v="ЗР ГРП, спуск ЭЦН"/>
    <s v="29.09.2025"/>
    <m/>
    <n v="3"/>
    <d v="2026-03-12T00:00:00"/>
    <s v="Высокий"/>
  </r>
  <r>
    <s v="1"/>
    <s v="36 КРС ООО &quot;ИНК-ТКРС&quot;"/>
    <m/>
    <m/>
    <s v="Ya_147"/>
    <n v="2"/>
    <d v="2026-05-15T00:00:00"/>
    <m/>
    <d v="2026-05-27T00:00:00"/>
    <n v="12"/>
    <n v="0"/>
    <n v="288"/>
    <n v="672"/>
    <n v="96"/>
    <n v="19"/>
    <n v="345"/>
    <s v="ТР5-1"/>
    <s v="ППР + ДПП"/>
    <s v="-"/>
    <m/>
    <m/>
    <m/>
    <s v="Средний"/>
  </r>
  <r>
    <s v="1"/>
    <s v="36 КРС ООО &quot;ИНК-ТКРС&quot;"/>
    <m/>
    <m/>
    <s v="Ya_7401г"/>
    <n v="74"/>
    <d v="2026-05-27T00:00:00"/>
    <m/>
    <d v="2026-05-31T00:00:00"/>
    <n v="4"/>
    <n v="0"/>
    <n v="96"/>
    <n v="100"/>
    <n v="0"/>
    <n v="0"/>
    <n v="0"/>
    <s v="ТР8-1"/>
    <s v="оптимизация"/>
    <s v="-"/>
    <m/>
    <m/>
    <m/>
    <s v="Средний"/>
  </r>
  <r>
    <s v="1"/>
    <s v="36 КРС ООО &quot;ИНК-ТКРС&quot;"/>
    <m/>
    <m/>
    <s v="Ya_б/н"/>
    <m/>
    <d v="2026-05-31T00:00:00"/>
    <m/>
    <d v="2026-06-07T00:00:00"/>
    <n v="7"/>
    <n v="0"/>
    <n v="168"/>
    <n v="0"/>
    <n v="0"/>
    <n v="0"/>
    <m/>
    <s v="ТР5-1"/>
    <s v="Смена ЭЦН на отказной скважине"/>
    <s v="-"/>
    <m/>
    <m/>
    <m/>
    <s v="нет в перечне"/>
  </r>
  <r>
    <s v="1"/>
    <s v="36 КРС ООО &quot;ИНК-ТКРС&quot;"/>
    <m/>
    <m/>
    <s v="Ki_021"/>
    <m/>
    <d v="2026-06-07T00:00:00"/>
    <m/>
    <d v="2026-06-14T00:00:00"/>
    <n v="7"/>
    <n v="0"/>
    <n v="168"/>
    <n v="0"/>
    <n v="0"/>
    <n v="0"/>
    <m/>
    <s v="КР11-1"/>
    <s v="консервация"/>
    <s v="-"/>
    <m/>
    <m/>
    <m/>
    <s v="нет в перечне"/>
  </r>
  <r>
    <s v="1"/>
    <s v="36 КРС ООО &quot;ИНК-ТКРС&quot;"/>
    <m/>
    <m/>
    <s v="Ki_021г"/>
    <m/>
    <d v="2026-06-14T00:00:00"/>
    <m/>
    <d v="2026-06-21T00:00:00"/>
    <n v="7"/>
    <n v="0"/>
    <n v="168"/>
    <n v="0"/>
    <n v="0"/>
    <n v="0"/>
    <m/>
    <s v="КР11-1"/>
    <s v="консервация"/>
    <s v="-"/>
    <m/>
    <m/>
    <m/>
    <s v="нет в перечне"/>
  </r>
  <r>
    <s v="1"/>
    <s v="37 КРС ООО &quot;ИНК-ТКРС&quot;"/>
    <s v="готов"/>
    <s v="выполняется"/>
    <s v="Mr_2401"/>
    <m/>
    <d v="2026-03-02T00:00:00"/>
    <d v="2026-03-02T00:00:00"/>
    <d v="2026-03-31T00:00:00"/>
    <n v="29"/>
    <n v="0"/>
    <n v="696"/>
    <n v="10"/>
    <n v="0"/>
    <n v="9"/>
    <n v="0"/>
    <s v="КР11-2"/>
    <s v="Расконсервация, БСКО Os, испытание, консервация"/>
    <s v="-"/>
    <m/>
    <m/>
    <m/>
    <s v="Высокий"/>
  </r>
  <r>
    <s v="1"/>
    <s v="37 КРС ООО &quot;ИНК-ТКРС&quot;"/>
    <m/>
    <m/>
    <s v="Mr_1704"/>
    <n v="17"/>
    <d v="2026-03-31T00:00:00"/>
    <d v="2026-03-25T00:00:00"/>
    <d v="2026-04-10T00:00:00"/>
    <n v="10"/>
    <n v="0"/>
    <n v="240"/>
    <n v="243"/>
    <n v="52"/>
    <n v="101"/>
    <n v="1000"/>
    <s v="КР1-2.2"/>
    <s v="Спуск Y-Tool"/>
    <s v="-"/>
    <m/>
    <m/>
    <m/>
    <s v="Высокий"/>
  </r>
  <r>
    <s v="1"/>
    <s v="37 КРС ООО &quot;ИНК-ТКРС&quot;"/>
    <m/>
    <m/>
    <s v="Mc_б/н"/>
    <m/>
    <d v="2026-04-10T00:00:00"/>
    <m/>
    <d v="2026-04-18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1"/>
    <s v="37 КРС ООО &quot;ИНК-ТКРС&quot;"/>
    <m/>
    <m/>
    <s v="Mr_1704"/>
    <n v="17"/>
    <d v="2026-04-18T00:00:00"/>
    <d v="2026-03-25T00:00:00"/>
    <d v="2026-05-03T00:00:00"/>
    <n v="15"/>
    <n v="0"/>
    <n v="360"/>
    <n v="243"/>
    <n v="52"/>
    <n v="101"/>
    <n v="1000"/>
    <s v="КР1-2.2"/>
    <s v="Подъем Y-Tool, по результатам РИР."/>
    <s v="-"/>
    <m/>
    <m/>
    <m/>
    <s v="Высокий"/>
  </r>
  <r>
    <s v="1"/>
    <s v="37 КРС ООО &quot;ИНК-ТКРС&quot;"/>
    <m/>
    <m/>
    <s v="Mr_1705"/>
    <n v="17"/>
    <d v="2026-05-03T00:00:00"/>
    <m/>
    <d v="2026-05-17T00:00:00"/>
    <n v="14"/>
    <n v="0"/>
    <n v="336"/>
    <n v="350"/>
    <n v="36"/>
    <n v="141"/>
    <n v="3400"/>
    <s v="КР1-1.1"/>
    <s v="Подъем ЭЦН, РИР воды пакер-пробкой и газа гелевым экраном. Спуск ЭЦН."/>
    <s v="-"/>
    <m/>
    <m/>
    <m/>
    <s v="низкий"/>
  </r>
  <r>
    <s v="1"/>
    <s v="37 КРС ООО &quot;ИНК-ТКРС&quot;"/>
    <m/>
    <m/>
    <s v="Mc_б/н"/>
    <m/>
    <d v="2026-05-17T00:00:00"/>
    <m/>
    <d v="2026-05-25T00:00:00"/>
    <n v="8"/>
    <n v="0"/>
    <n v="192"/>
    <n v="0"/>
    <n v="0"/>
    <n v="0"/>
    <m/>
    <s v="ТР5-1"/>
    <s v="Смена ЭЦН на отказной скважине. В случае отсутствия отказа, провести ИДН из перечня ТОП ОПТ."/>
    <s v="-"/>
    <m/>
    <m/>
    <m/>
    <s v="нет в перечне"/>
  </r>
  <r>
    <s v="стор"/>
    <s v="1 Андижон ООО &quot;АндижонНГКТваБ&quot;-Русь&quot;"/>
    <s v="готов"/>
    <s v="выполняется"/>
    <s v="Ya_122"/>
    <n v="3"/>
    <d v="2026-03-05T00:00:00"/>
    <d v="2026-03-14T00:00:00"/>
    <d v="2026-03-15T00:00:00"/>
    <n v="10"/>
    <n v="0"/>
    <n v="240"/>
    <n v="810"/>
    <n v="90"/>
    <n v="50"/>
    <n v="265"/>
    <s v="КР7-3"/>
    <s v="ЗР к ГРП"/>
    <s v="-"/>
    <m/>
    <n v="1"/>
    <d v="2026-03-03T00:00:00"/>
    <s v="-"/>
  </r>
  <r>
    <s v="стор"/>
    <s v="1 Андижон ООО &quot;АндижонНГКТваБ&quot;-Русь&quot;"/>
    <m/>
    <m/>
    <s v="Ya_571"/>
    <n v="34"/>
    <d v="2026-03-15T00:00:00"/>
    <d v="2026-03-30T00:00:00"/>
    <d v="2026-03-26T00:00:00"/>
    <n v="10"/>
    <n v="1"/>
    <n v="264"/>
    <n v="105"/>
    <n v="0"/>
    <n v="5"/>
    <n v="0"/>
    <s v="КР10-1"/>
    <s v="Прочие ГТМ ППД"/>
    <s v="-"/>
    <m/>
    <m/>
    <m/>
    <s v="Высокий"/>
  </r>
  <r>
    <s v="стор"/>
    <s v="1 Андижон ООО &quot;АндижонНГКТваБ&quot;-Русь&quot;"/>
    <m/>
    <s v="ож эцн"/>
    <s v="Au_002вз"/>
    <n v="2"/>
    <d v="2026-03-26T00:00:00"/>
    <d v="2026-03-25T00:00:00"/>
    <d v="2026-03-31T00:00:00"/>
    <n v="4"/>
    <n v="1"/>
    <n v="120"/>
    <n v="125"/>
    <n v="0"/>
    <n v="5"/>
    <n v="0"/>
    <s v="ТР8-1"/>
    <s v="Отказ, смена на меньший типоразмер"/>
    <s v="-"/>
    <m/>
    <m/>
    <m/>
    <s v="Высокий"/>
  </r>
  <r>
    <s v="стор"/>
    <s v="1 Андижон ООО &quot;АндижонНГКТваБ&quot;-Русь&quot;"/>
    <s v="готов"/>
    <m/>
    <s v="Au_011вз"/>
    <n v="2"/>
    <d v="2026-03-31T00:00:00"/>
    <d v="2026-03-02T00:00:00"/>
    <d v="2026-04-03T00:00:00"/>
    <n v="3"/>
    <n v="0"/>
    <n v="72"/>
    <n v="0"/>
    <n v="0"/>
    <n v="0"/>
    <n v="100"/>
    <s v="ТР11-1"/>
    <s v="Извлечение ЭЦН"/>
    <s v="-"/>
    <m/>
    <m/>
    <m/>
    <s v="нет в перечне"/>
  </r>
  <r>
    <s v="стор"/>
    <s v="1 Андижон ООО &quot;АндижонНГКТваБ&quot;-Русь&quot;"/>
    <m/>
    <m/>
    <s v="Ya_292"/>
    <n v="34"/>
    <d v="2026-04-03T00:00:00"/>
    <m/>
    <d v="2026-04-27T00:00:00"/>
    <n v="24"/>
    <n v="0"/>
    <n v="576"/>
    <n v="106"/>
    <n v="5"/>
    <n v="84"/>
    <n v="159"/>
    <s v="КР7-2"/>
    <s v="ГРП (ГПП) готовность к ГРП 10 дней"/>
    <s v="-"/>
    <d v="2026-04-22T00:00:00"/>
    <n v="1"/>
    <d v="2026-04-25T00:00:00"/>
    <s v="Средний"/>
  </r>
  <r>
    <s v="стор"/>
    <s v="1 Андижон ООО &quot;АндижонНГКТваБ&quot;-Русь&quot;"/>
    <m/>
    <m/>
    <s v="Ya_062вз"/>
    <n v="62"/>
    <d v="2026-04-27T00:00:00"/>
    <m/>
    <d v="2026-05-01T00:00:00"/>
    <n v="4"/>
    <n v="0"/>
    <n v="96"/>
    <n v="160"/>
    <n v="0"/>
    <n v="0"/>
    <n v="0"/>
    <s v="ТР8-1"/>
    <s v="оптимизация"/>
    <s v="-"/>
    <m/>
    <m/>
    <m/>
    <s v="Средний"/>
  </r>
  <r>
    <s v="стор"/>
    <s v="1 Андижон ООО &quot;АндижонНГКТваБ&quot;-Русь&quot;"/>
    <m/>
    <m/>
    <s v="Ya_589"/>
    <n v="34"/>
    <d v="2026-05-01T00:00:00"/>
    <m/>
    <d v="2026-05-11T00:00:00"/>
    <n v="10"/>
    <n v="0"/>
    <n v="240"/>
    <n v="80"/>
    <n v="0"/>
    <n v="4"/>
    <n v="0"/>
    <s v="КР10-1"/>
    <s v="Прочие ГТМ ППД"/>
    <s v="-"/>
    <m/>
    <m/>
    <m/>
    <s v="Средний"/>
  </r>
  <r>
    <s v="стор"/>
    <s v="1 Андижон ООО &quot;АндижонНГКТваБ&quot;-Русь&quot;"/>
    <m/>
    <m/>
    <s v="Ya_898"/>
    <m/>
    <d v="2026-05-11T00:00:00"/>
    <m/>
    <d v="2026-05-21T00:00:00"/>
    <n v="10"/>
    <n v="0"/>
    <n v="240"/>
    <n v="0"/>
    <n v="0"/>
    <n v="0"/>
    <n v="0"/>
    <s v="ТР6-1"/>
    <s v="Прочие ГТМ ППД ГАЗ"/>
    <s v="-"/>
    <m/>
    <m/>
    <m/>
    <s v="Средний"/>
  </r>
  <r>
    <s v="стор"/>
    <s v="1 Андижон ООО &quot;АндижонНГКТваБ&quot;-Русь&quot;"/>
    <m/>
    <m/>
    <s v="Ya_357"/>
    <n v="45"/>
    <d v="2026-05-21T00:00:00"/>
    <m/>
    <d v="2026-05-29T00:00:00"/>
    <n v="8"/>
    <n v="0"/>
    <n v="192"/>
    <n v="738"/>
    <n v="96"/>
    <n v="24"/>
    <n v="1581"/>
    <s v="ТР5-1"/>
    <s v="Смена ЭЦН (ППР)"/>
    <s v="-"/>
    <m/>
    <m/>
    <m/>
    <s v="За рамками 3-месяцев"/>
  </r>
  <r>
    <s v="стор"/>
    <s v="1 Андижон ООО &quot;АндижонНГКТваБ&quot;-Русь&quot;"/>
    <s v="пр нет"/>
    <s v="ож эцн"/>
    <s v="Ya_236"/>
    <n v="9"/>
    <d v="2026-05-29T00:00:00"/>
    <m/>
    <d v="2026-06-12T00:00:00"/>
    <n v="14"/>
    <n v="0"/>
    <n v="336"/>
    <n v="750"/>
    <n v="98"/>
    <n v="13"/>
    <n v="90"/>
    <s v="КР7-1"/>
    <s v="НЗ + ОПЗ"/>
    <s v="-"/>
    <m/>
    <m/>
    <m/>
    <s v="Средний "/>
  </r>
  <r>
    <s v="стор"/>
    <s v="1 Андижон ООО &quot;АндижонНГКТваБ&quot;-Русь&quot;"/>
    <m/>
    <m/>
    <s v="Ya_125"/>
    <n v="9"/>
    <d v="2026-06-12T00:00:00"/>
    <m/>
    <d v="2026-06-20T00:00:00"/>
    <n v="8"/>
    <n v="0"/>
    <n v="192"/>
    <n v="172"/>
    <n v="95"/>
    <n v="7"/>
    <n v="151"/>
    <s v="ТР5-1"/>
    <s v="Смена ЭЦН на отказной скважине"/>
    <s v="-"/>
    <m/>
    <m/>
    <m/>
    <s v="низкий"/>
  </r>
  <r>
    <s v="стор"/>
    <s v="2 Андижон ООО &quot;АндижонНГКТваБ&quot;-Русь&quot;"/>
    <s v="готов"/>
    <s v="выполняется"/>
    <s v="Au_24403"/>
    <n v="244"/>
    <d v="2026-02-26T00:00:00"/>
    <m/>
    <d v="2026-03-13T00:00:00"/>
    <n v="14"/>
    <n v="1"/>
    <n v="360"/>
    <n v="161"/>
    <n v="62"/>
    <n v="50"/>
    <n v="500"/>
    <s v="КР-ОС-4"/>
    <s v="ЗР ГРП, ГИС гироскоп, спуск ЭЦН, отработка ЭЦНом"/>
    <s v="04.12.2025"/>
    <m/>
    <n v="1"/>
    <d v="2026-02-11T00:00:00"/>
    <s v="Высокий "/>
  </r>
  <r>
    <s v="стор"/>
    <s v="2 Андижон ООО &quot;АндижонНГКТваБ&quot;-Русь&quot;"/>
    <m/>
    <s v="меш"/>
    <s v="Au_24402"/>
    <n v="244"/>
    <d v="2026-03-13T00:00:00"/>
    <d v="2026-03-11T00:00:00"/>
    <d v="2026-03-28T00:00:00"/>
    <n v="14"/>
    <n v="1"/>
    <n v="360"/>
    <n v="90"/>
    <n v="10"/>
    <n v="66"/>
    <n v="4630"/>
    <s v="КР-ОС-4"/>
    <s v="ЗР ГРП, спуск ЭЦН, отработка ЭЦНом"/>
    <s v="Пробурена "/>
    <m/>
    <n v="1"/>
    <d v="2026-02-13T00:00:00"/>
    <s v="Высокий "/>
  </r>
  <r>
    <s v="стор"/>
    <s v="2 Андижон ООО &quot;АндижонНГКТваБ&quot;-Русь&quot;"/>
    <m/>
    <s v="ож гнкт"/>
    <s v="Ya_208"/>
    <n v="56"/>
    <d v="2026-03-28T00:00:00"/>
    <d v="2026-03-26T00:00:00"/>
    <d v="2026-04-13T00:00:00"/>
    <n v="16"/>
    <n v="0"/>
    <n v="384"/>
    <n v="112"/>
    <n v="63"/>
    <n v="34"/>
    <n v="236"/>
    <s v="КР7-3"/>
    <s v="ЗР к ГРП с приобщением"/>
    <s v="-"/>
    <m/>
    <n v="1"/>
    <d v="2026-01-03T00:00:00"/>
    <s v="Высокий"/>
  </r>
  <r>
    <s v="стор"/>
    <s v="2 Андижон ООО &quot;АндижонНГКТваБ&quot;-Русь&quot;"/>
    <m/>
    <s v="ож эцн"/>
    <s v="Au_9830г"/>
    <n v="98"/>
    <d v="2026-04-13T00:00:00"/>
    <m/>
    <d v="2026-04-14T00:00:00"/>
    <n v="1"/>
    <n v="0"/>
    <n v="24"/>
    <m/>
    <m/>
    <m/>
    <m/>
    <s v="ТР8-1"/>
    <s v="монтаж ФА, спуск ЭЦН"/>
    <s v="-"/>
    <m/>
    <m/>
    <m/>
    <s v="нет в перечне"/>
  </r>
  <r>
    <s v="стор"/>
    <s v="2 Андижон ООО &quot;АндижонНГКТваБ&quot;-Русь&quot;"/>
    <m/>
    <s v="ож эцн"/>
    <s v="Au_097г"/>
    <n v="97"/>
    <d v="2026-04-14T00:00:00"/>
    <m/>
    <d v="2026-04-15T00:00:00"/>
    <n v="1"/>
    <n v="0"/>
    <n v="24"/>
    <m/>
    <m/>
    <m/>
    <n v="0"/>
    <s v="ТР8-1"/>
    <s v="монтаж ФА, спуск ЭЦН"/>
    <s v="-"/>
    <m/>
    <m/>
    <m/>
    <s v="За рамками 3-месяцев"/>
  </r>
  <r>
    <s v="стор"/>
    <s v="2 Андижон ООО &quot;АндижонНГКТваБ&quot;-Русь&quot;"/>
    <m/>
    <m/>
    <s v="Ya_656"/>
    <n v="20"/>
    <d v="2026-04-15T00:00:00"/>
    <m/>
    <d v="2026-04-23T00:00:00"/>
    <n v="8"/>
    <n v="0"/>
    <n v="192"/>
    <n v="400"/>
    <n v="97"/>
    <n v="10"/>
    <n v="90"/>
    <s v="ТР5-1"/>
    <s v="спуск ЭЦН"/>
    <s v="-"/>
    <m/>
    <m/>
    <m/>
    <s v="Высокий"/>
  </r>
  <r>
    <s v="стор"/>
    <s v="2 Андижон ООО &quot;АндижонНГКТваБ&quot;-Русь&quot;"/>
    <s v="нз нет"/>
    <s v="ож эцн"/>
    <s v="Au_383"/>
    <n v="95"/>
    <d v="2026-04-23T00:00:00"/>
    <m/>
    <d v="2026-05-05T00:00:00"/>
    <n v="12"/>
    <n v="0"/>
    <n v="288"/>
    <n v="232"/>
    <n v="94"/>
    <n v="12"/>
    <n v="422"/>
    <s v="КР7-1"/>
    <s v="НЗ,  ОПЗ"/>
    <s v="-"/>
    <m/>
    <m/>
    <m/>
    <s v="Высокий"/>
  </r>
  <r>
    <s v="стор"/>
    <s v="2 Андижон ООО &quot;АндижонНГКТваБ&quot;-Русь&quot;"/>
    <m/>
    <m/>
    <s v="Ya_280вз"/>
    <n v="28"/>
    <d v="2026-05-05T00:00:00"/>
    <m/>
    <d v="2026-05-19T00:00:00"/>
    <n v="14"/>
    <n v="0"/>
    <n v="336"/>
    <n v="800"/>
    <n v="0"/>
    <n v="0"/>
    <n v="0"/>
    <s v="ТР8-1"/>
    <s v="ПВЛГ ВЗ"/>
    <s v="-"/>
    <m/>
    <m/>
    <m/>
    <s v="низкий"/>
  </r>
  <r>
    <s v="стор"/>
    <s v="2 Андижон ООО &quot;АндижонНГКТваБ&quot;-Русь&quot;"/>
    <m/>
    <m/>
    <s v="Ya_303"/>
    <m/>
    <d v="2026-05-19T00:00:00"/>
    <m/>
    <d v="2026-05-29T00:00:00"/>
    <n v="10"/>
    <n v="0"/>
    <n v="240"/>
    <n v="0"/>
    <n v="0"/>
    <n v="0"/>
    <n v="0"/>
    <s v="КР10-1"/>
    <s v="Прочие ГТМ ППД"/>
    <s v="-"/>
    <m/>
    <m/>
    <m/>
    <s v="Средний"/>
  </r>
  <r>
    <s v="стор"/>
    <s v="2 Андижон ООО &quot;АндижонНГКТваБ&quot;-Русь&quot;"/>
    <m/>
    <m/>
    <s v="Ya_614"/>
    <n v="49"/>
    <d v="2026-05-29T00:00:00"/>
    <m/>
    <d v="2026-06-08T00:00:00"/>
    <n v="10"/>
    <n v="0"/>
    <n v="240"/>
    <n v="4000"/>
    <n v="0"/>
    <n v="0"/>
    <n v="0"/>
    <s v="КР10-1"/>
    <s v="Прочие ГТМ ППД"/>
    <s v="-"/>
    <m/>
    <m/>
    <m/>
    <s v="За рамками 3-месяцев"/>
  </r>
  <r>
    <s v="стор"/>
    <s v="2 Андижон ООО &quot;АндижонНГКТваБ&quot;-Русь&quot;"/>
    <m/>
    <m/>
    <s v="Ya_б/н"/>
    <m/>
    <d v="2026-06-08T00:00:00"/>
    <m/>
    <d v="2026-06-16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2 Андижон ООО &quot;АндижонНГКТваБ&quot;-Русь&quot;"/>
    <m/>
    <m/>
    <s v="Ya_590"/>
    <n v="5"/>
    <d v="2026-06-16T00:00:00"/>
    <m/>
    <d v="2026-06-26T00:00:00"/>
    <n v="10"/>
    <n v="0"/>
    <n v="240"/>
    <n v="250"/>
    <n v="94"/>
    <n v="13"/>
    <n v="207"/>
    <s v="КР7-1"/>
    <s v=" ОТЗ/НЗ ОПЗ"/>
    <s v="-"/>
    <m/>
    <m/>
    <m/>
    <s v="низкий"/>
  </r>
  <r>
    <s v="стор"/>
    <s v="3 Андижон ООО &quot;АндижонНГКТваБ&quot;-Русь&quot;"/>
    <s v="готов"/>
    <s v="выполняется"/>
    <s v="Ya_212"/>
    <n v="18"/>
    <d v="2026-02-27T00:00:00"/>
    <m/>
    <d v="2026-03-15T00:00:00"/>
    <n v="16"/>
    <n v="0"/>
    <n v="384"/>
    <n v="87"/>
    <n v="50"/>
    <n v="36"/>
    <n v="1000"/>
    <s v="КР7-2"/>
    <s v="ПР к ГРП Vt; ГРП Vt;"/>
    <s v="-"/>
    <d v="2026-03-16T00:00:00"/>
    <n v="1"/>
    <d v="2026-03-18T00:00:00"/>
    <s v="Высокий"/>
  </r>
  <r>
    <s v="стор"/>
    <s v="3 Андижон ООО &quot;АндижонНГКТваБ&quot;-Русь&quot;"/>
    <m/>
    <s v="эцн в налич"/>
    <s v="Ya_218"/>
    <n v="35"/>
    <d v="2026-03-15T00:00:00"/>
    <d v="2026-03-17T00:00:00"/>
    <d v="2026-03-23T00:00:00"/>
    <n v="7"/>
    <n v="1"/>
    <n v="192"/>
    <n v="1200"/>
    <n v="94"/>
    <n v="61"/>
    <n v="447"/>
    <s v="ТР3-2"/>
    <s v="оптимизация"/>
    <s v="-"/>
    <m/>
    <m/>
    <m/>
    <s v="Высокий"/>
  </r>
  <r>
    <s v="стор"/>
    <s v="3 Андижон ООО &quot;АндижонНГКТваБ&quot;-Русь&quot;"/>
    <m/>
    <m/>
    <s v="Ya_б/н"/>
    <m/>
    <d v="2026-03-23T00:00:00"/>
    <m/>
    <d v="2026-04-01T00:00:00"/>
    <n v="8"/>
    <n v="1"/>
    <n v="216"/>
    <n v="0"/>
    <n v="0"/>
    <n v="0"/>
    <m/>
    <s v="ТР5-1"/>
    <s v="Смена ЭЦН на отказной скважине"/>
    <s v="-"/>
    <m/>
    <m/>
    <m/>
    <s v="нет в перечне"/>
  </r>
  <r>
    <s v="стор"/>
    <s v="3 Андижон ООО &quot;АндижонНГКТваБ&quot;-Русь&quot;"/>
    <m/>
    <m/>
    <s v="Ya_951"/>
    <n v="67"/>
    <d v="2026-04-01T00:00:00"/>
    <d v="2026-03-22T00:00:00"/>
    <d v="2026-04-07T00:00:00"/>
    <n v="6"/>
    <n v="0"/>
    <n v="144"/>
    <n v="1000"/>
    <n v="98"/>
    <n v="17"/>
    <n v="84"/>
    <s v="ТР5-7"/>
    <s v="подъем воронки спуск ЭЦН"/>
    <s v="-"/>
    <m/>
    <m/>
    <m/>
    <s v="Высокий"/>
  </r>
  <r>
    <s v="стор"/>
    <s v="3 Андижон ООО &quot;АндижонНГКТваБ&quot;-Русь&quot;"/>
    <m/>
    <m/>
    <s v="Az_478"/>
    <n v="60"/>
    <d v="2026-04-07T00:00:00"/>
    <d v="2026-03-29T00:00:00"/>
    <d v="2026-04-14T00:00:00"/>
    <n v="7"/>
    <n v="0"/>
    <n v="168"/>
    <n v="55"/>
    <n v="79"/>
    <n v="9"/>
    <n v="6413"/>
    <s v="ТР5-1"/>
    <s v="Смена ЭЦН на отказной скважине"/>
    <s v="-"/>
    <m/>
    <m/>
    <m/>
    <s v="Высокий"/>
  </r>
  <r>
    <s v="стор"/>
    <s v="3 Андижон ООО &quot;АндижонНГКТваБ&quot;-Русь&quot;"/>
    <m/>
    <m/>
    <s v="Ya_262вз"/>
    <n v="26"/>
    <d v="2026-04-14T00:00:00"/>
    <m/>
    <d v="2026-04-24T00:00:00"/>
    <n v="10"/>
    <n v="0"/>
    <n v="240"/>
    <n v="4000"/>
    <n v="0"/>
    <n v="0"/>
    <n v="0"/>
    <s v="КР10-1"/>
    <s v="Прочие ГТМ ППД"/>
    <s v="-"/>
    <m/>
    <m/>
    <m/>
    <s v="низкий"/>
  </r>
  <r>
    <s v="стор"/>
    <s v="3 Андижон ООО &quot;АндижонНГКТваБ&quot;-Русь&quot;"/>
    <m/>
    <m/>
    <s v="Ya_264вз"/>
    <n v="26"/>
    <d v="2026-04-24T00:00:00"/>
    <m/>
    <d v="2026-05-04T00:00:00"/>
    <n v="10"/>
    <n v="0"/>
    <n v="240"/>
    <n v="4000"/>
    <n v="0"/>
    <n v="0"/>
    <n v="0"/>
    <s v="КР10-1"/>
    <s v="Прочие ГТМ ППД"/>
    <s v="-"/>
    <m/>
    <m/>
    <m/>
    <s v="низкий"/>
  </r>
  <r>
    <s v="стор"/>
    <s v="3 Андижон ООО &quot;АндижонНГКТваБ&quot;-Русь&quot;"/>
    <m/>
    <s v="ож эцн"/>
    <s v="Au_9401г"/>
    <n v="94"/>
    <d v="2026-05-04T00:00:00"/>
    <m/>
    <d v="2026-05-08T00:00:00"/>
    <n v="4"/>
    <n v="0"/>
    <n v="96"/>
    <n v="100"/>
    <n v="0"/>
    <n v="4"/>
    <n v="0"/>
    <s v="ТР8-1"/>
    <s v="деоптимизация"/>
    <s v="-"/>
    <m/>
    <m/>
    <m/>
    <s v="Средний"/>
  </r>
  <r>
    <s v="стор"/>
    <s v="3 Андижон ООО &quot;АндижонНГКТваБ&quot;-Русь&quot;"/>
    <m/>
    <m/>
    <s v="Ya_б/н"/>
    <m/>
    <d v="2026-05-08T00:00:00"/>
    <m/>
    <d v="2026-05-16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3 Андижон ООО &quot;АндижонНГКТваБ&quot;-Русь&quot;"/>
    <m/>
    <m/>
    <s v="Ya_746"/>
    <n v="74"/>
    <d v="2026-05-16T00:00:00"/>
    <m/>
    <d v="2026-05-24T00:00:00"/>
    <n v="8"/>
    <n v="0"/>
    <n v="192"/>
    <n v="86"/>
    <n v="5"/>
    <n v="67"/>
    <n v="47"/>
    <s v="ТР3-2"/>
    <s v="оптимизация"/>
    <s v="-"/>
    <m/>
    <m/>
    <m/>
    <s v="Средний"/>
  </r>
  <r>
    <s v="стор"/>
    <s v="3 Андижон ООО &quot;АндижонНГКТваБ&quot;-Русь&quot;"/>
    <m/>
    <m/>
    <s v="Ya_б/н"/>
    <m/>
    <d v="2026-05-24T00:00:00"/>
    <m/>
    <d v="2026-06-01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3 Андижон ООО &quot;АндижонНГКТваБ&quot;-Русь&quot;"/>
    <m/>
    <m/>
    <s v="Ya_106"/>
    <n v="3"/>
    <d v="2026-06-01T00:00:00"/>
    <m/>
    <d v="2026-06-09T00:00:00"/>
    <n v="8"/>
    <n v="0"/>
    <n v="192"/>
    <n v="781"/>
    <n v="96"/>
    <n v="26"/>
    <n v="212"/>
    <s v="ТР5-1"/>
    <s v="Смена ЭЦН (ППР)"/>
    <s v="-"/>
    <m/>
    <m/>
    <m/>
    <s v="За рамками 3-месяцев"/>
  </r>
  <r>
    <s v="стор"/>
    <s v="4 Андижон ООО &quot;АндижонНГКТваБ&quot;-Русь&quot;"/>
    <s v="готов"/>
    <s v="выполняется"/>
    <s v="Az_333"/>
    <n v="82"/>
    <d v="2026-02-23T00:00:00"/>
    <m/>
    <d v="2026-03-07T00:00:00"/>
    <n v="10"/>
    <n v="2"/>
    <n v="288"/>
    <n v="76"/>
    <n v="71"/>
    <n v="18"/>
    <n v="259"/>
    <s v="ТР5-1"/>
    <s v="Смена ЭЦН на отказной скважине"/>
    <s v="-"/>
    <m/>
    <m/>
    <m/>
    <s v="Высокий"/>
  </r>
  <r>
    <s v="стор"/>
    <s v="4 Андижон ООО &quot;АндижонНГКТваБ&quot;-Русь&quot;"/>
    <m/>
    <s v="эцв в налич"/>
    <s v="Ya_067кпг"/>
    <n v="67"/>
    <d v="2026-03-07T00:00:00"/>
    <m/>
    <d v="2026-03-11T00:00:00"/>
    <n v="3"/>
    <n v="1"/>
    <n v="96"/>
    <n v="55"/>
    <n v="0"/>
    <n v="0"/>
    <n v="100"/>
    <s v="ТР8-1"/>
    <s v="смена эцв с автокрана ОТЗ, НЗ, Шаблонировка. Замер приемистости, по рез-ту ОПЗ"/>
    <s v="-"/>
    <m/>
    <m/>
    <m/>
    <s v="нет в перечне"/>
  </r>
  <r>
    <s v="стор"/>
    <s v="4 Андижон ООО &quot;АндижонНГКТваБ&quot;-Русь&quot;"/>
    <s v="готов"/>
    <s v="эцн в налич"/>
    <s v="Ya_242"/>
    <n v="10"/>
    <d v="2026-03-11T00:00:00"/>
    <d v="2026-03-08T00:00:00"/>
    <d v="2026-03-22T00:00:00"/>
    <n v="10"/>
    <n v="1"/>
    <n v="264"/>
    <n v="25"/>
    <n v="6"/>
    <n v="20"/>
    <n v="220"/>
    <s v="ТР5-1"/>
    <s v="Смена ЭЦН на отказной скважине + ПСШ, НЗ"/>
    <s v="-"/>
    <m/>
    <m/>
    <m/>
    <s v="Высокий"/>
  </r>
  <r>
    <s v="стор"/>
    <s v="4 Андижон ООО &quot;АндижонНГКТваБ&quot;-Русь&quot;"/>
    <m/>
    <m/>
    <s v="Ya_386"/>
    <n v="19"/>
    <d v="2026-03-22T00:00:00"/>
    <d v="2026-03-19T00:00:00"/>
    <d v="2026-03-30T00:00:00"/>
    <n v="7"/>
    <n v="1"/>
    <n v="192"/>
    <n v="356"/>
    <n v="87"/>
    <n v="38"/>
    <n v="31"/>
    <s v="ТР3-2"/>
    <s v="оптимизация"/>
    <s v="-"/>
    <m/>
    <m/>
    <m/>
    <s v="Высокий"/>
  </r>
  <r>
    <s v="стор"/>
    <s v="4 Андижон ООО &quot;АндижонНГКТваБ&quot;-Русь&quot;"/>
    <m/>
    <m/>
    <s v="Ya_б/н"/>
    <m/>
    <d v="2026-03-30T00:00:00"/>
    <m/>
    <d v="2026-04-0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4 Андижон ООО &quot;АндижонНГКТваБ&quot;-Русь&quot;"/>
    <m/>
    <m/>
    <s v="Ya_212"/>
    <n v="18"/>
    <d v="2026-04-07T00:00:00"/>
    <m/>
    <d v="2026-04-17T00:00:00"/>
    <n v="10"/>
    <n v="0"/>
    <n v="240"/>
    <n v="87"/>
    <n v="50"/>
    <n v="36"/>
    <n v="1000"/>
    <s v="КР7-3"/>
    <s v="ЗР  ГРП, спуск ЭЦН."/>
    <s v="-"/>
    <d v="2026-03-16T00:00:00"/>
    <n v="1"/>
    <d v="2026-03-18T00:00:00"/>
    <s v="Высокий"/>
  </r>
  <r>
    <s v="стор"/>
    <s v="4 Андижон ООО &quot;АндижонНГКТваБ&quot;-Русь&quot;"/>
    <m/>
    <m/>
    <s v="Ya_241"/>
    <n v="10"/>
    <d v="2026-04-17T00:00:00"/>
    <m/>
    <d v="2026-04-24T00:00:00"/>
    <n v="7"/>
    <n v="0"/>
    <n v="168"/>
    <n v="914"/>
    <n v="88"/>
    <n v="91"/>
    <n v="116"/>
    <s v="ТР3-2"/>
    <s v="оптимизация"/>
    <s v="-"/>
    <m/>
    <m/>
    <m/>
    <s v="Средний"/>
  </r>
  <r>
    <s v="стор"/>
    <s v="4 Андижон ООО &quot;АндижонНГКТваБ&quot;-Русь&quot;"/>
    <m/>
    <m/>
    <s v="Ya_169"/>
    <n v="39"/>
    <d v="2026-04-24T00:00:00"/>
    <m/>
    <d v="2026-05-01T00:00:00"/>
    <n v="7"/>
    <n v="0"/>
    <n v="168"/>
    <n v="247"/>
    <n v="52"/>
    <n v="98"/>
    <n v="75"/>
    <s v="ТР3-2"/>
    <s v="оптимизация"/>
    <s v="-"/>
    <m/>
    <m/>
    <m/>
    <s v="Средний"/>
  </r>
  <r>
    <s v="стор"/>
    <s v="4 Андижон ООО &quot;АндижонНГКТваБ&quot;-Русь&quot;"/>
    <s v="готов"/>
    <s v="ож эцн"/>
    <s v="Ya_761"/>
    <n v="31"/>
    <d v="2026-05-01T00:00:00"/>
    <m/>
    <d v="2026-05-13T00:00:00"/>
    <n v="12"/>
    <n v="0"/>
    <n v="288"/>
    <n v="890"/>
    <n v="98"/>
    <n v="12"/>
    <n v="313"/>
    <s v="КР13-13"/>
    <s v="смена ЭЦН на отказной скважине с НЗ + СКВИЗ"/>
    <s v="-"/>
    <m/>
    <m/>
    <m/>
    <s v="Средний "/>
  </r>
  <r>
    <s v="стор"/>
    <s v="4 Андижон ООО &quot;АндижонНГКТваБ&quot;-Русь&quot;"/>
    <m/>
    <s v="ож эцн"/>
    <s v="Az_216"/>
    <m/>
    <d v="2026-05-13T00:00:00"/>
    <m/>
    <d v="2026-05-21T00:00:00"/>
    <n v="8"/>
    <n v="0"/>
    <n v="192"/>
    <n v="189"/>
    <n v="65"/>
    <n v="55"/>
    <n v="228"/>
    <s v="ТР3-2"/>
    <s v="оптимизация"/>
    <s v="-"/>
    <m/>
    <m/>
    <m/>
    <s v="низкий"/>
  </r>
  <r>
    <s v="стор"/>
    <s v="4 Андижон ООО &quot;АндижонНГКТваБ&quot;-Русь&quot;"/>
    <m/>
    <m/>
    <s v="Ya_222"/>
    <n v="36"/>
    <d v="2026-05-21T00:00:00"/>
    <m/>
    <d v="2026-06-04T00:00:00"/>
    <n v="14"/>
    <n v="0"/>
    <n v="336"/>
    <n v="854"/>
    <n v="92"/>
    <n v="54"/>
    <n v="100"/>
    <s v="КР7-13"/>
    <s v="НЗ, ДП, спуск ЭЦН"/>
    <s v="-"/>
    <m/>
    <m/>
    <m/>
    <s v="низкий"/>
  </r>
  <r>
    <s v="стор"/>
    <s v="4 Андижон ООО &quot;АндижонНГКТваБ&quot;-Русь&quot;"/>
    <m/>
    <m/>
    <s v="Ya_156"/>
    <n v="14"/>
    <d v="2026-06-04T00:00:00"/>
    <m/>
    <d v="2026-06-14T00:00:00"/>
    <n v="10"/>
    <n v="0"/>
    <n v="240"/>
    <n v="100"/>
    <n v="0"/>
    <n v="5"/>
    <n v="0"/>
    <s v="КР10-1"/>
    <s v="Прочие ГТМ ППД"/>
    <s v="-"/>
    <m/>
    <m/>
    <m/>
    <s v="низкий"/>
  </r>
  <r>
    <s v="стор"/>
    <s v="4 Андижон ООО &quot;АндижонНГКТваБ&quot;-Русь&quot;"/>
    <m/>
    <m/>
    <s v="Ya_596"/>
    <n v="17"/>
    <d v="2026-06-14T00:00:00"/>
    <m/>
    <d v="2026-06-24T00:00:00"/>
    <n v="10"/>
    <n v="0"/>
    <n v="240"/>
    <n v="0"/>
    <n v="0"/>
    <n v="0"/>
    <n v="0"/>
    <s v="КР10-1"/>
    <s v="Прочие ГТМ ППД"/>
    <s v="-"/>
    <m/>
    <m/>
    <m/>
    <s v="низкий"/>
  </r>
  <r>
    <s v="стор"/>
    <s v="5 Андижон ООО &quot;АндижонНГКТваБ&quot;-Русь&quot;"/>
    <s v="готов"/>
    <s v="выполняется"/>
    <s v="Yaw_5604рс"/>
    <n v="56"/>
    <d v="2026-02-28T00:00:00"/>
    <m/>
    <d v="2026-03-15T00:00:00"/>
    <n v="15"/>
    <n v="0"/>
    <n v="360"/>
    <n v="0"/>
    <n v="0"/>
    <n v="0"/>
    <m/>
    <s v="КР13-1.1"/>
    <s v="КОПС,_x000a_Смена ЭЦН на отказной скважине + ГИС (ИНГКС + СО + плотность и проводимость) 1560-2290м (спуск капилярной трубки)"/>
    <s v="-"/>
    <m/>
    <m/>
    <m/>
    <s v="нет в перечне"/>
  </r>
  <r>
    <s v="стор"/>
    <s v="5 Андижон ООО &quot;АндижонНГКТваБ&quot;-Русь&quot;"/>
    <m/>
    <s v="эцн в налич"/>
    <s v="Ya_056вз"/>
    <n v="56"/>
    <d v="2026-03-15T00:00:00"/>
    <d v="2026-03-15T00:00:00"/>
    <d v="2026-03-20T00:00:00"/>
    <n v="4"/>
    <n v="1"/>
    <n v="120"/>
    <n v="480"/>
    <n v="0"/>
    <n v="0"/>
    <n v="0"/>
    <s v="ТР8-1"/>
    <s v="Смена ЭЦН на отказной скважине"/>
    <s v="-"/>
    <m/>
    <m/>
    <m/>
    <s v="Высокий "/>
  </r>
  <r>
    <s v="стор"/>
    <s v="5 Андижон ООО &quot;АндижонНГКТваБ&quot;-Русь&quot;"/>
    <m/>
    <m/>
    <s v="Yaw_256рс"/>
    <n v="22"/>
    <d v="2026-03-20T00:00:00"/>
    <m/>
    <d v="2026-03-26T00:00:00"/>
    <n v="5"/>
    <n v="1"/>
    <n v="144"/>
    <n v="0"/>
    <n v="0"/>
    <n v="0"/>
    <n v="100"/>
    <s v="КР11-1"/>
    <s v="консервация без ЦМ"/>
    <s v="-"/>
    <m/>
    <m/>
    <m/>
    <s v="нет в перечне"/>
  </r>
  <r>
    <s v="стор"/>
    <s v="5 Андижон ООО &quot;АндижонНГКТваБ&quot;-Русь&quot;"/>
    <m/>
    <m/>
    <s v="Yaw_23003рс"/>
    <n v="230"/>
    <d v="2026-03-26T00:00:00"/>
    <d v="2026-03-20T00:00:00"/>
    <d v="2026-04-05T00:00:00"/>
    <n v="10"/>
    <n v="0"/>
    <n v="240"/>
    <n v="400"/>
    <n v="0"/>
    <n v="0"/>
    <m/>
    <s v="КР7-1"/>
    <s v="ВНС -  ГДК , селективное ОПЗ, спуск Э-100 (80, 125)."/>
    <s v="-"/>
    <m/>
    <m/>
    <m/>
    <s v="нет в перечне"/>
  </r>
  <r>
    <s v="стор"/>
    <s v="5 Андижон ООО &quot;АндижонНГКТваБ&quot;-Русь&quot;"/>
    <m/>
    <m/>
    <s v="Yaw_23004рс"/>
    <n v="230"/>
    <d v="2026-04-05T00:00:00"/>
    <d v="2026-03-31T00:00:00"/>
    <d v="2026-04-15T00:00:00"/>
    <n v="10"/>
    <n v="0"/>
    <n v="240"/>
    <n v="400"/>
    <n v="0"/>
    <n v="0"/>
    <m/>
    <s v="КР7-1"/>
    <s v="ВНС -  ГДК , селективное ОПЗ, спуск Э-100 (80, 125)."/>
    <s v="-"/>
    <m/>
    <m/>
    <m/>
    <s v="нет в перечне"/>
  </r>
  <r>
    <s v="стор"/>
    <s v="5 Андижон ООО &quot;АндижонНГКТваБ&quot;-Русь&quot;"/>
    <m/>
    <m/>
    <s v="Yaw_23007рс"/>
    <n v="230"/>
    <d v="2026-04-15T00:00:00"/>
    <m/>
    <d v="2026-04-25T00:00:00"/>
    <n v="10"/>
    <n v="0"/>
    <n v="240"/>
    <n v="400"/>
    <n v="0"/>
    <n v="0"/>
    <m/>
    <s v="КР7-1"/>
    <s v="ВНС -  ГДК , селективное ОПЗ, спуск Э-100 (80, 125)."/>
    <s v="-"/>
    <m/>
    <m/>
    <m/>
    <s v="нет в перечне"/>
  </r>
  <r>
    <s v="стор"/>
    <s v="5 Андижон ООО &quot;АндижонНГКТваБ&quot;-Русь&quot;"/>
    <m/>
    <m/>
    <s v="Yaw_5001г"/>
    <n v="50"/>
    <d v="2026-04-25T00:00:00"/>
    <m/>
    <d v="2026-05-10T00:00:00"/>
    <n v="15"/>
    <n v="0"/>
    <n v="360"/>
    <n v="0"/>
    <n v="0"/>
    <n v="0"/>
    <m/>
    <s v="КР12-1"/>
    <s v="Ликвидация скважины"/>
    <s v="-"/>
    <m/>
    <m/>
    <m/>
    <s v="нет в перечне"/>
  </r>
  <r>
    <s v="стор"/>
    <s v="5 Андижон ООО &quot;АндижонНГКТваБ&quot;-Русь&quot;"/>
    <m/>
    <m/>
    <s v="Yaw_5005рс"/>
    <n v="50"/>
    <d v="2026-05-10T00:00:00"/>
    <m/>
    <d v="2026-05-20T00:00:00"/>
    <n v="10"/>
    <n v="0"/>
    <n v="240"/>
    <n v="400"/>
    <n v="0"/>
    <n v="0"/>
    <n v="100"/>
    <s v="КР7-1"/>
    <s v="Селективное ОПЗ. Спуск компоновки ОРЗ. "/>
    <s v="-"/>
    <m/>
    <m/>
    <m/>
    <s v="нет в перечне"/>
  </r>
  <r>
    <s v="стор"/>
    <s v="5 Андижон ООО &quot;АндижонНГКТваБ&quot;-Русь&quot;"/>
    <m/>
    <m/>
    <s v="Yaw_70408рс"/>
    <n v="704"/>
    <d v="2026-05-20T00:00:00"/>
    <m/>
    <d v="2026-05-30T00:00:00"/>
    <n v="10"/>
    <n v="0"/>
    <n v="240"/>
    <n v="400"/>
    <n v="0"/>
    <n v="0"/>
    <m/>
    <s v="КР7-1"/>
    <s v="ВНС -  ГДК , селективное ОПЗ, спуск Э-100 "/>
    <s v="-"/>
    <m/>
    <m/>
    <m/>
    <s v="нет в перечне"/>
  </r>
  <r>
    <s v="стор"/>
    <s v="5 Андижон ООО &quot;АндижонНГКТваБ&quot;-Русь&quot;"/>
    <m/>
    <m/>
    <s v="Yaw_70409рс"/>
    <n v="704"/>
    <d v="2026-05-30T00:00:00"/>
    <m/>
    <d v="2026-06-09T00:00:00"/>
    <n v="10"/>
    <n v="0"/>
    <n v="240"/>
    <n v="687"/>
    <n v="85"/>
    <n v="83"/>
    <m/>
    <s v="КР7-1"/>
    <s v="ВНС -  ГДК , селективное ОПЗ, спуск Э-100 (80, 125)."/>
    <s v="-"/>
    <m/>
    <m/>
    <m/>
    <s v="нет в перечне"/>
  </r>
  <r>
    <s v="стор"/>
    <s v="5 Андижон ООО &quot;АндижонНГКТваБ&quot;-Русь&quot;"/>
    <m/>
    <m/>
    <s v="Yaw_559рс"/>
    <n v="22"/>
    <d v="2026-06-09T00:00:00"/>
    <m/>
    <d v="2026-06-21T00:00:00"/>
    <n v="12"/>
    <n v="0"/>
    <n v="288"/>
    <n v="0"/>
    <n v="0"/>
    <n v="0"/>
    <m/>
    <s v="КР7-10"/>
    <s v="Изоляция нижнего интервала. Доп.ПВР, селективное ОПЗ 2-х пакерной компоновкой"/>
    <s v="-"/>
    <m/>
    <m/>
    <m/>
    <s v="нет в перечне"/>
  </r>
  <r>
    <s v="стор"/>
    <s v="5 Андижон ООО &quot;АндижонНГКТваБ&quot;-Русь&quot;"/>
    <m/>
    <s v="ож эцн"/>
    <s v="Ya_056вз"/>
    <n v="56"/>
    <d v="2026-06-21T00:00:00"/>
    <d v="2026-03-15T00:00:00"/>
    <d v="2026-06-25T00:00:00"/>
    <n v="4"/>
    <n v="0"/>
    <n v="96"/>
    <n v="480"/>
    <n v="0"/>
    <n v="0"/>
    <n v="0"/>
    <s v="КР9-1"/>
    <s v="Подъем ЭЦН, спуск пакера 6ПМС-ЯГ-215-98-60 на НКТ 114 мм."/>
    <s v="-"/>
    <m/>
    <m/>
    <m/>
    <s v="Высокий "/>
  </r>
  <r>
    <s v="стор"/>
    <s v="6 Андижон ООО &quot;АндижонНГКТваБ&quot;-Русь&quot;"/>
    <s v="готов"/>
    <s v="выполняется"/>
    <s v="Az_084-2г"/>
    <n v="84"/>
    <d v="2026-03-03T00:00:00"/>
    <d v="2026-03-06T00:00:00"/>
    <d v="2026-03-07T00:00:00"/>
    <n v="4"/>
    <n v="0"/>
    <n v="96"/>
    <n v="0"/>
    <n v="0"/>
    <n v="0"/>
    <n v="0"/>
    <s v="ТР11-1"/>
    <s v="Извлечение ЭЦН"/>
    <s v="-"/>
    <m/>
    <m/>
    <m/>
    <s v="низкий"/>
  </r>
  <r>
    <s v="стор"/>
    <s v="6 Андижон ООО &quot;АндижонНГКТваБ&quot;-Русь&quot;"/>
    <m/>
    <m/>
    <s v="Az_8405г"/>
    <n v="84"/>
    <d v="2026-03-07T00:00:00"/>
    <d v="2026-03-23T00:00:00"/>
    <d v="2026-03-11T00:00:00"/>
    <n v="3"/>
    <n v="1"/>
    <n v="96"/>
    <n v="0"/>
    <n v="0"/>
    <n v="0"/>
    <n v="100"/>
    <s v="ТР11-1"/>
    <s v="Извлечение ЭЦН"/>
    <s v="-"/>
    <m/>
    <m/>
    <m/>
    <s v="нет в перечне"/>
  </r>
  <r>
    <s v="стор"/>
    <s v="6 Андижон ООО &quot;АндижонНГКТваБ&quot;-Русь&quot;"/>
    <m/>
    <m/>
    <s v="Az_083г"/>
    <n v="83"/>
    <d v="2026-03-11T00:00:00"/>
    <d v="2026-03-19T00:00:00"/>
    <d v="2026-03-15T00:00:00"/>
    <n v="3"/>
    <n v="1"/>
    <n v="96"/>
    <n v="0"/>
    <n v="0"/>
    <n v="0"/>
    <n v="0"/>
    <s v="ТР11-1"/>
    <s v="Извлечение ЭЦН"/>
    <s v="-"/>
    <m/>
    <m/>
    <m/>
    <s v="низкий"/>
  </r>
  <r>
    <s v="стор"/>
    <s v="6 Андижон ООО &quot;АндижонНГКТваБ&quot;-Русь&quot;"/>
    <m/>
    <m/>
    <s v="Au_498"/>
    <n v="90"/>
    <d v="2026-03-15T00:00:00"/>
    <m/>
    <d v="2026-03-23T00:00:00"/>
    <n v="7"/>
    <n v="1"/>
    <n v="192"/>
    <n v="0"/>
    <n v="0"/>
    <n v="0"/>
    <n v="0"/>
    <s v="КР11-1"/>
    <s v="Извлечение ЭЦН, консервация"/>
    <s v="-"/>
    <m/>
    <m/>
    <m/>
    <s v="За рамками 3-месяцев"/>
  </r>
  <r>
    <s v="стор"/>
    <s v="7 Андижон ООО &quot;АндижонНГКТваБ&quot;-Русь&quot;"/>
    <s v="готов"/>
    <s v="выполняется"/>
    <s v="Au_302"/>
    <n v="94"/>
    <d v="2026-02-13T00:00:00"/>
    <m/>
    <d v="2026-03-10T00:00:00"/>
    <n v="23"/>
    <n v="2"/>
    <n v="600"/>
    <n v="55"/>
    <n v="35"/>
    <n v="30"/>
    <n v="32"/>
    <s v="ТР5-1"/>
    <s v="Смена ЭЦН на отказной скважине"/>
    <s v="-"/>
    <m/>
    <m/>
    <m/>
    <s v="-"/>
  </r>
  <r>
    <s v="стор"/>
    <s v="7 Андижон ООО &quot;АндижонНГКТваБ&quot;-Русь&quot;"/>
    <m/>
    <s v="эцн в налич"/>
    <s v="Au_447"/>
    <n v="91"/>
    <d v="2026-03-10T00:00:00"/>
    <d v="2026-03-08T00:00:00"/>
    <d v="2026-03-19T00:00:00"/>
    <n v="8"/>
    <n v="1"/>
    <n v="216"/>
    <n v="14"/>
    <n v="1"/>
    <n v="11"/>
    <n v="423"/>
    <s v="ТР5-1"/>
    <s v="Смена ЭЦН на отказной скважине"/>
    <s v="-"/>
    <m/>
    <m/>
    <m/>
    <s v="Высокий"/>
  </r>
  <r>
    <s v="стор"/>
    <s v="7 Андижон ООО &quot;АндижонНГКТваБ&quot;-Русь&quot;"/>
    <m/>
    <s v="эцн в налич"/>
    <s v="Ya_23002г"/>
    <n v="230"/>
    <d v="2026-03-19T00:00:00"/>
    <d v="2026-03-25T00:00:00"/>
    <d v="2026-03-23T00:00:00"/>
    <n v="3"/>
    <n v="1"/>
    <n v="96"/>
    <n v="500"/>
    <n v="0"/>
    <n v="0"/>
    <n v="0"/>
    <s v="ТР8-1"/>
    <s v="Смена ЭЦН на отказной скважине"/>
    <s v="-"/>
    <m/>
    <m/>
    <m/>
    <s v="Высокий"/>
  </r>
  <r>
    <s v="стор"/>
    <s v="7 Андижон ООО &quot;АндижонНГКТваБ&quot;-Русь&quot;"/>
    <m/>
    <s v="эцн в налич"/>
    <s v="Au_092"/>
    <n v="5"/>
    <d v="2026-03-23T00:00:00"/>
    <d v="2026-03-05T00:00:00"/>
    <d v="2026-04-01T00:00:00"/>
    <n v="8"/>
    <n v="1"/>
    <n v="216"/>
    <n v="303"/>
    <n v="85"/>
    <n v="38"/>
    <n v="1048"/>
    <s v="КР13-2"/>
    <s v="По скважине планируются доп работы: ход и объем не определен"/>
    <s v="-"/>
    <m/>
    <m/>
    <m/>
    <s v="по р-там ВНР"/>
  </r>
  <r>
    <s v="стор"/>
    <s v="7 Андижон ООО &quot;АндижонНГКТваБ&quot;-Русь&quot;"/>
    <m/>
    <m/>
    <s v="Au_348"/>
    <n v="100"/>
    <d v="2026-04-01T00:00:00"/>
    <d v="2026-03-29T00:00:00"/>
    <d v="2026-04-09T00:00:00"/>
    <n v="8"/>
    <n v="0"/>
    <n v="192"/>
    <n v="88"/>
    <n v="94"/>
    <n v="4"/>
    <n v="603"/>
    <s v="ТР5-1"/>
    <s v="Смена ЭЦН на отказной скважине"/>
    <s v="-"/>
    <m/>
    <m/>
    <m/>
    <s v="Средний "/>
  </r>
  <r>
    <s v="стор"/>
    <s v="7 Андижон ООО &quot;АндижонНГКТваБ&quot;-Русь&quot;"/>
    <m/>
    <m/>
    <s v="Ya_б/н"/>
    <m/>
    <d v="2026-04-09T00:00:00"/>
    <m/>
    <d v="2026-04-17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7 Андижон ООО &quot;АндижонНГКТваБ&quot;-Русь&quot;"/>
    <m/>
    <m/>
    <s v="Ya_274"/>
    <n v="37"/>
    <d v="2026-04-17T00:00:00"/>
    <m/>
    <d v="2026-05-11T00:00:00"/>
    <n v="24"/>
    <n v="0"/>
    <n v="576"/>
    <n v="653"/>
    <n v="87"/>
    <n v="70"/>
    <n v="216"/>
    <s v="КР7-2"/>
    <s v="ГРП (ГПП) готовность к ГРП 10 дней"/>
    <s v="-"/>
    <d v="2026-04-26T00:00:00"/>
    <n v="2"/>
    <d v="2026-05-02T00:00:00"/>
    <s v="низкий"/>
  </r>
  <r>
    <s v="стор"/>
    <s v="7 Андижон ООО &quot;АндижонНГКТваБ&quot;-Русь&quot;"/>
    <m/>
    <m/>
    <s v="Ya_520"/>
    <n v="36"/>
    <d v="2026-05-11T00:00:00"/>
    <m/>
    <d v="2026-05-21T00:00:00"/>
    <n v="10"/>
    <n v="0"/>
    <n v="240"/>
    <n v="1300"/>
    <n v="90"/>
    <n v="108"/>
    <n v="150"/>
    <s v="КР7-3"/>
    <s v="ЗР  ГРП, спуск ЭЦН."/>
    <s v="-"/>
    <d v="2026-05-03T00:00:00"/>
    <n v="1"/>
    <d v="2026-05-05T00:00:00"/>
    <s v="Средний "/>
  </r>
  <r>
    <s v="стор"/>
    <s v="7 Андижон ООО &quot;АндижонНГКТваБ&quot;-Русь&quot;"/>
    <m/>
    <m/>
    <s v="Ya_б/н"/>
    <m/>
    <d v="2026-05-21T00:00:00"/>
    <m/>
    <d v="2026-05-29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7 Андижон ООО &quot;АндижонНГКТваБ&quot;-Русь&quot;"/>
    <m/>
    <s v="ож эцн"/>
    <s v="Ya_029вз"/>
    <n v="29"/>
    <d v="2026-05-29T00:00:00"/>
    <m/>
    <d v="2026-06-01T00:00:00"/>
    <n v="3"/>
    <n v="0"/>
    <n v="72"/>
    <n v="150"/>
    <n v="0"/>
    <n v="0"/>
    <n v="0"/>
    <s v="ТР8-1"/>
    <s v="смена ЭЦН (деоптимизация)"/>
    <s v="-"/>
    <m/>
    <m/>
    <m/>
    <s v="Средний"/>
  </r>
  <r>
    <s v="стор"/>
    <s v="7 Андижон ООО &quot;АндижонНГКТваБ&quot;-Русь&quot;"/>
    <m/>
    <s v="ож эцн"/>
    <s v="Az_8802г"/>
    <n v="88"/>
    <d v="2026-06-01T00:00:00"/>
    <m/>
    <d v="2026-06-04T00:00:00"/>
    <n v="3"/>
    <n v="0"/>
    <n v="72"/>
    <n v="150"/>
    <n v="0"/>
    <n v="10"/>
    <n v="0"/>
    <s v="ТР8-1"/>
    <s v="ВБД"/>
    <s v="-"/>
    <m/>
    <m/>
    <m/>
    <s v="Средний"/>
  </r>
  <r>
    <s v="стор"/>
    <s v="7 Андижон ООО &quot;АндижонНГКТваБ&quot;-Русь&quot;"/>
    <m/>
    <m/>
    <s v="Ya_027вз"/>
    <m/>
    <d v="2026-06-04T00:00:00"/>
    <m/>
    <d v="2026-06-14T00:00:00"/>
    <n v="10"/>
    <n v="0"/>
    <n v="240"/>
    <n v="4000"/>
    <n v="0"/>
    <n v="0"/>
    <n v="0"/>
    <s v="КР10-1"/>
    <s v="Прочие ГТМ ППД"/>
    <s v="-"/>
    <m/>
    <m/>
    <m/>
    <s v="Средний"/>
  </r>
  <r>
    <s v="стор"/>
    <s v="7 Андижон ООО &quot;АндижонНГКТваБ&quot;-Русь&quot;"/>
    <m/>
    <m/>
    <s v="Ya_310вз"/>
    <m/>
    <d v="2026-06-14T00:00:00"/>
    <m/>
    <d v="2026-06-24T00:00:00"/>
    <n v="10"/>
    <n v="0"/>
    <n v="240"/>
    <n v="4000"/>
    <n v="0"/>
    <n v="0"/>
    <n v="0"/>
    <s v="КР10-1"/>
    <s v="Прочие ГТМ ППД"/>
    <s v="-"/>
    <m/>
    <m/>
    <m/>
    <s v="Средний"/>
  </r>
  <r>
    <s v="стор"/>
    <s v="8 Андижон ООО &quot;АндижонНГКТваБ&quot;-Русь&quot;"/>
    <m/>
    <s v="запуск бригады"/>
    <s v="Ya_016вз"/>
    <n v="16"/>
    <d v="2026-03-15T00:00:00"/>
    <d v="2026-03-20T00:00:00"/>
    <d v="2026-03-20T00:00:00"/>
    <n v="4"/>
    <n v="1"/>
    <n v="120"/>
    <n v="800"/>
    <n v="0"/>
    <n v="10"/>
    <n v="0"/>
    <s v="ТР8-1"/>
    <s v="деоптимизация"/>
    <s v="-"/>
    <m/>
    <m/>
    <m/>
    <s v="Высокий"/>
  </r>
  <r>
    <s v="стор"/>
    <s v="8 Андижон ООО &quot;АндижонНГКТваБ&quot;-Русь&quot;"/>
    <m/>
    <s v="ож эцн"/>
    <s v="Ya_180"/>
    <n v="18"/>
    <d v="2026-03-20T00:00:00"/>
    <m/>
    <d v="2026-03-27T00:00:00"/>
    <n v="6"/>
    <n v="1"/>
    <n v="168"/>
    <n v="280"/>
    <n v="93"/>
    <n v="16"/>
    <n v="300"/>
    <s v="КР7-1"/>
    <s v="НЗ ОПЗ на отказной скважине"/>
    <s v="-"/>
    <m/>
    <m/>
    <m/>
    <s v="Средний "/>
  </r>
  <r>
    <s v="стор"/>
    <s v="8 Андижон ООО &quot;АндижонНГКТваБ&quot;-Русь&quot;"/>
    <m/>
    <m/>
    <s v="Ya_б/н"/>
    <m/>
    <d v="2026-03-27T00:00:00"/>
    <m/>
    <d v="2026-04-04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8 Андижон ООО &quot;АндижонНГКТваБ&quot;-Русь&quot;"/>
    <m/>
    <m/>
    <s v="Ya_3601г"/>
    <n v="36"/>
    <d v="2026-04-04T00:00:00"/>
    <m/>
    <d v="2026-04-07T00:00:00"/>
    <n v="3"/>
    <n v="0"/>
    <n v="72"/>
    <n v="1500"/>
    <n v="0"/>
    <n v="74"/>
    <n v="0"/>
    <s v="КР11-2"/>
    <s v="расконсервация"/>
    <s v="-"/>
    <m/>
    <m/>
    <m/>
    <s v="Высокий "/>
  </r>
  <r>
    <s v="стор"/>
    <s v="8 Андижон ООО &quot;АндижонНГКТваБ&quot;-Русь&quot;"/>
    <m/>
    <m/>
    <s v="Ya_036вз"/>
    <n v="36"/>
    <d v="2026-04-07T00:00:00"/>
    <m/>
    <d v="2026-04-10T00:00:00"/>
    <n v="3"/>
    <n v="0"/>
    <n v="72"/>
    <n v="1500"/>
    <n v="0"/>
    <n v="74"/>
    <n v="0"/>
    <s v="КР11-2"/>
    <s v="расконсервация"/>
    <s v="-"/>
    <m/>
    <m/>
    <m/>
    <s v="Высокий "/>
  </r>
  <r>
    <s v="стор"/>
    <s v="8 Андижон ООО &quot;АндижонНГКТваБ&quot;-Русь&quot;"/>
    <m/>
    <m/>
    <s v="Ya_059вз"/>
    <n v="59"/>
    <d v="2026-04-10T00:00:00"/>
    <m/>
    <d v="2026-04-14T00:00:00"/>
    <n v="4"/>
    <n v="0"/>
    <n v="96"/>
    <n v="200"/>
    <n v="0"/>
    <n v="0"/>
    <n v="0"/>
    <s v="ТР8-1"/>
    <s v="оптимизация"/>
    <s v="-"/>
    <m/>
    <m/>
    <m/>
    <s v="Средний"/>
  </r>
  <r>
    <s v="стор"/>
    <s v="8 Андижон ООО &quot;АндижонНГКТваБ&quot;-Русь&quot;"/>
    <m/>
    <m/>
    <s v="Ya_б/н"/>
    <m/>
    <d v="2026-04-14T00:00:00"/>
    <m/>
    <d v="2026-04-22T00:00:00"/>
    <n v="8"/>
    <n v="0"/>
    <n v="192"/>
    <n v="0"/>
    <n v="0"/>
    <n v="0"/>
    <m/>
    <s v="ТР5-1"/>
    <s v="смена ЭЦН на отказной скважине"/>
    <s v="-"/>
    <m/>
    <m/>
    <m/>
    <s v="нет в перечне"/>
  </r>
  <r>
    <s v="стор"/>
    <s v="8 Андижон ООО &quot;АндижонНГКТваБ&quot;-Русь&quot;"/>
    <s v="нз нет"/>
    <m/>
    <s v="Au_9701"/>
    <n v="97"/>
    <d v="2026-04-22T00:00:00"/>
    <d v="2026-03-16T00:00:00"/>
    <d v="2026-05-06T00:00:00"/>
    <n v="14"/>
    <n v="0"/>
    <n v="336"/>
    <n v="75"/>
    <n v="90"/>
    <n v="6"/>
    <n v="195"/>
    <s v="КР7-3"/>
    <s v="ЗР ГРП"/>
    <s v="Пробурена "/>
    <d v="2026-05-06T00:00:00"/>
    <n v="1"/>
    <d v="2026-05-08T00:00:00"/>
    <s v="Средний"/>
  </r>
  <r>
    <s v="стор"/>
    <s v="8 Андижон ООО &quot;АндижонНГКТваБ&quot;-Русь&quot;"/>
    <m/>
    <s v="ож нкт"/>
    <s v="Ya_301"/>
    <n v="201"/>
    <d v="2026-05-06T00:00:00"/>
    <m/>
    <d v="2026-05-16T00:00:00"/>
    <n v="10"/>
    <n v="0"/>
    <n v="240"/>
    <n v="0"/>
    <n v="0"/>
    <n v="0"/>
    <n v="0"/>
    <s v="ТР6-1"/>
    <s v="Смена НКТ 114, наработка 2197 суток"/>
    <s v="-"/>
    <m/>
    <m/>
    <m/>
    <s v="Высокий"/>
  </r>
  <r>
    <s v="стор"/>
    <s v="8 Андижон ООО &quot;АндижонНГКТваБ&quot;-Русь&quot;"/>
    <m/>
    <s v="ож нкт"/>
    <s v="Ya_822"/>
    <n v="208"/>
    <d v="2026-05-16T00:00:00"/>
    <m/>
    <d v="2026-05-26T00:00:00"/>
    <n v="10"/>
    <n v="0"/>
    <n v="240"/>
    <n v="0"/>
    <n v="0"/>
    <n v="0"/>
    <n v="0"/>
    <s v="ТР6-1"/>
    <s v="Смена НКТ 114, наработка 2284 суток"/>
    <s v="-"/>
    <m/>
    <m/>
    <m/>
    <s v="Высокий"/>
  </r>
  <r>
    <s v="стор"/>
    <s v="8 Андижон ООО &quot;АндижонНГКТваБ&quot;-Русь&quot;"/>
    <m/>
    <s v="ож нкт"/>
    <s v="Ya_313"/>
    <n v="233"/>
    <d v="2026-05-26T00:00:00"/>
    <m/>
    <d v="2026-06-05T00:00:00"/>
    <n v="10"/>
    <n v="0"/>
    <n v="240"/>
    <n v="0"/>
    <n v="0"/>
    <n v="0"/>
    <n v="0"/>
    <s v="ТР6-1"/>
    <s v="Смена НКТ 114"/>
    <s v="-"/>
    <m/>
    <m/>
    <m/>
    <s v="Средний"/>
  </r>
  <r>
    <s v="стор"/>
    <s v="8 Андижон ООО &quot;АндижонНГКТваБ&quot;-Русь&quot;"/>
    <m/>
    <m/>
    <s v="Ya_862"/>
    <n v="210"/>
    <d v="2026-06-05T00:00:00"/>
    <m/>
    <d v="2026-06-13T00:00:00"/>
    <n v="8"/>
    <n v="0"/>
    <n v="192"/>
    <n v="0"/>
    <n v="0"/>
    <n v="0"/>
    <n v="0"/>
    <s v="ТР6-1"/>
    <s v="Смена НКТ 89, наработка 2759 суток"/>
    <s v="-"/>
    <m/>
    <m/>
    <m/>
    <s v="Средний"/>
  </r>
  <r>
    <s v="стор"/>
    <s v="8 Андижон ООО &quot;АндижонНГКТваБ&quot;-Русь&quot;"/>
    <m/>
    <m/>
    <s v="Ya_019"/>
    <m/>
    <d v="2026-06-13T00:00:00"/>
    <m/>
    <d v="2026-06-23T00:00:00"/>
    <n v="10"/>
    <n v="0"/>
    <n v="240"/>
    <n v="926000"/>
    <n v="0"/>
    <n v="0"/>
    <n v="0"/>
    <s v="ТР6-1"/>
    <s v="Смена НКТ 89-&gt;102 при нормальном прохождении в ЭК 146, наработка 2370 суток"/>
    <s v="-"/>
    <m/>
    <m/>
    <m/>
    <s v="Высокий"/>
  </r>
  <r>
    <s v="гнкт"/>
    <s v="7 ГНКТ ООО &quot;ИНК-ТКРС&quot;"/>
    <s v="готов"/>
    <s v="выполняется"/>
    <s v="Mr_1503"/>
    <n v="15"/>
    <d v="2026-02-17T00:00:00"/>
    <d v="2026-03-27T00:00:00"/>
    <d v="2026-03-14T00:00:00"/>
    <n v="23"/>
    <n v="2"/>
    <n v="600"/>
    <n v="246"/>
    <n v="64"/>
    <n v="76"/>
    <n v="368"/>
    <s v="КР13-1.3НТ"/>
    <s v="ВЦ по ЗТР"/>
    <s v="-"/>
    <m/>
    <m/>
    <m/>
    <s v="-"/>
  </r>
  <r>
    <s v="гнкт"/>
    <s v="7 ГНКТ ООО &quot;ИНК-ТКРС&quot;"/>
    <s v="готов"/>
    <m/>
    <s v="Mc_5101"/>
    <n v="51"/>
    <d v="2026-03-14T00:00:00"/>
    <d v="2026-03-10T00:00:00"/>
    <d v="2026-03-18T00:00:00"/>
    <n v="3"/>
    <n v="1"/>
    <n v="96"/>
    <n v="520"/>
    <n v="0"/>
    <n v="442"/>
    <n v="257"/>
    <s v="КР7-1НТ"/>
    <s v="Промывка НКТ от АСПО"/>
    <s v="-"/>
    <m/>
    <m/>
    <m/>
    <s v="нет в перечне"/>
  </r>
  <r>
    <s v="гнкт"/>
    <s v="7 ГНКТ ООО &quot;ИНК-ТКРС&quot;"/>
    <m/>
    <m/>
    <s v="Mc_008"/>
    <n v="10"/>
    <d v="2026-03-18T00:00:00"/>
    <d v="2026-03-14T00:00:00"/>
    <d v="2026-03-29T00:00:00"/>
    <n v="10"/>
    <n v="1"/>
    <n v="264"/>
    <n v="1000"/>
    <m/>
    <n v="0"/>
    <n v="0"/>
    <s v="КР7-1НТ"/>
    <s v="НЗ, ОПЗ"/>
    <s v="-"/>
    <m/>
    <m/>
    <m/>
    <s v="Высокий"/>
  </r>
  <r>
    <s v="гнкт"/>
    <s v="7 ГНКТ ООО &quot;ИНК-ТКРС&quot;"/>
    <s v="готов"/>
    <m/>
    <s v="Mr_1704"/>
    <n v="17"/>
    <d v="2026-03-29T00:00:00"/>
    <d v="2026-03-25T00:00:00"/>
    <d v="2026-04-07T00:00:00"/>
    <n v="9"/>
    <n v="0"/>
    <n v="216"/>
    <n v="243"/>
    <n v="52"/>
    <n v="101"/>
    <n v="1000"/>
    <s v="КР8-2.1НТ"/>
    <s v="ГИС Y-TOOL"/>
    <s v="-"/>
    <m/>
    <m/>
    <m/>
    <s v="Высокий"/>
  </r>
  <r>
    <s v="гнкт"/>
    <s v="7 ГНКТ ООО &quot;ИНК-ТКРС&quot;"/>
    <m/>
    <m/>
    <s v="Mc_б/н"/>
    <m/>
    <d v="2026-04-07T00:00:00"/>
    <m/>
    <d v="2026-04-12T00:00:00"/>
    <n v="5"/>
    <n v="0"/>
    <n v="120"/>
    <n v="0"/>
    <n v="0"/>
    <n v="0"/>
    <m/>
    <s v="КР13-1.3НТ"/>
    <s v="ВЦ по НКТ"/>
    <s v="-"/>
    <m/>
    <m/>
    <m/>
    <s v="нет в перечне"/>
  </r>
  <r>
    <s v="гнкт"/>
    <s v="7 ГНКТ ООО &quot;ИНК-ТКРС&quot;"/>
    <m/>
    <m/>
    <s v="Mc_б/н"/>
    <m/>
    <d v="2026-04-12T00:00:00"/>
    <m/>
    <d v="2026-04-17T00:00:00"/>
    <n v="5"/>
    <n v="0"/>
    <n v="120"/>
    <n v="0"/>
    <n v="0"/>
    <n v="0"/>
    <m/>
    <s v="КР13-1.3НТ"/>
    <s v="ВЦ по НКТ"/>
    <s v="-"/>
    <m/>
    <m/>
    <m/>
    <s v="нет в перечне"/>
  </r>
  <r>
    <s v="гнкт"/>
    <s v="7 ГНКТ ООО &quot;ИНК-ТКРС&quot;"/>
    <m/>
    <m/>
    <s v="Mc_б/н"/>
    <m/>
    <d v="2026-04-17T00:00:00"/>
    <m/>
    <d v="2026-04-22T00:00:00"/>
    <n v="5"/>
    <n v="0"/>
    <n v="120"/>
    <n v="0"/>
    <n v="0"/>
    <n v="0"/>
    <m/>
    <s v="КР13-1.3НТ"/>
    <s v="ВЦ по НКТ"/>
    <s v="-"/>
    <m/>
    <m/>
    <m/>
    <s v="нет в перечне"/>
  </r>
  <r>
    <s v="гнкт"/>
    <s v="7 ГНКТ ООО &quot;ИНК-ТКРС&quot;"/>
    <m/>
    <m/>
    <s v="Mr_1909"/>
    <n v="19"/>
    <d v="2026-04-22T00:00:00"/>
    <m/>
    <d v="2026-05-01T00:00:00"/>
    <n v="9"/>
    <n v="0"/>
    <n v="216"/>
    <n v="72"/>
    <n v="41"/>
    <n v="36"/>
    <n v="4893"/>
    <s v="КР8-2.1НТ"/>
    <s v="ГИС Y-TOOL"/>
    <s v="-"/>
    <m/>
    <m/>
    <m/>
    <s v="нет в перечне"/>
  </r>
  <r>
    <s v="гнкт"/>
    <s v="15 ГНКТ ООО &quot;ИНК-ТКРС&quot;"/>
    <s v="готов"/>
    <s v="выполняется"/>
    <s v="Vt_8412"/>
    <n v="84"/>
    <d v="2026-02-15T00:00:00"/>
    <m/>
    <d v="2026-03-08T00:00:00"/>
    <n v="19"/>
    <n v="2"/>
    <n v="504"/>
    <n v="303"/>
    <n v="60"/>
    <n v="98"/>
    <n v="330"/>
    <s v="КР13-2НТ"/>
    <s v="промывка хвостовика, активация, по рез-ту ПВР "/>
    <s v="-"/>
    <m/>
    <m/>
    <m/>
    <s v="-"/>
  </r>
  <r>
    <s v="гнкт"/>
    <s v="15 ГНКТ ООО &quot;ИНК-ТКРС&quot;"/>
    <s v="готов"/>
    <m/>
    <s v="Vt_8709"/>
    <n v="87"/>
    <d v="2026-03-08T00:00:00"/>
    <d v="2026-03-16T00:00:00"/>
    <d v="2026-03-11T00:00:00"/>
    <n v="3"/>
    <n v="0"/>
    <n v="72"/>
    <n v="420"/>
    <n v="72"/>
    <n v="96"/>
    <n v="0"/>
    <s v="КР13-1.3НТ"/>
    <s v="ВЦ НКТ"/>
    <s v="-"/>
    <m/>
    <m/>
    <m/>
    <s v="Высокий"/>
  </r>
  <r>
    <s v="гнкт"/>
    <s v="15 ГНКТ ООО &quot;ИНК-ТКРС&quot;"/>
    <s v="нз нет"/>
    <m/>
    <s v="Vt_8706"/>
    <n v="87"/>
    <d v="2026-03-11T00:00:00"/>
    <d v="2026-03-07T00:00:00"/>
    <d v="2026-03-13T00:00:00"/>
    <n v="2"/>
    <n v="0"/>
    <n v="48"/>
    <n v="87"/>
    <n v="60"/>
    <n v="28"/>
    <n v="169"/>
    <s v="КР13-1.3НТ"/>
    <s v="восстановления прохода через ЭЦН (клин ЭЦН). Спуск до ЛГ и промывка ЭЦН (обратный клапан в компоновке отсутствует). В случае отсутствия поглощения согласовать с ТО Западным регионом проведение СКО на ГНО. "/>
    <s v="-"/>
    <m/>
    <m/>
    <m/>
    <s v="нет в перечне"/>
  </r>
  <r>
    <s v="гнкт"/>
    <s v="15 ГНКТ ООО &quot;ИНК-ТКРС&quot;"/>
    <s v="нз нет"/>
    <m/>
    <s v="Vt_4605"/>
    <n v="46"/>
    <d v="2026-03-13T00:00:00"/>
    <d v="2026-03-25T00:00:00"/>
    <d v="2026-03-27T00:00:00"/>
    <n v="14"/>
    <n v="0"/>
    <n v="336"/>
    <n v="300"/>
    <n v="0"/>
    <n v="0"/>
    <n v="0"/>
    <s v="КР8-2.1НТ"/>
    <s v="Промывка ОК до ТЗ. ГИС: ОПП под закачкой. ОПЗ. ГИС: ОПП.   "/>
    <s v="-"/>
    <d v="2026-04-17T00:00:00"/>
    <n v="1"/>
    <d v="2026-04-19T00:00:00"/>
    <s v="Высокий"/>
  </r>
  <r>
    <s v="гнкт"/>
    <s v="15 ГНКТ ООО &quot;ИНК-ТКРС&quot;"/>
    <m/>
    <m/>
    <s v="Vt_8902"/>
    <n v="89"/>
    <d v="2026-03-27T00:00:00"/>
    <d v="2026-03-23T00:00:00"/>
    <d v="2026-03-29T00:00:00"/>
    <n v="2"/>
    <n v="0"/>
    <n v="48"/>
    <n v="228"/>
    <n v="90"/>
    <n v="19"/>
    <n v="506"/>
    <s v="КР13-1.3НТ"/>
    <s v="Скважина была заморожена в период низких температур, после пропарки и проведения запуска с обратной промывкой, отсутствие подачи. (непроход Каскад 1062м). "/>
    <s v="-"/>
    <m/>
    <m/>
    <m/>
    <s v="нет в перечне"/>
  </r>
  <r>
    <s v="гнкт"/>
    <s v="15 ГНКТ ООО &quot;ИНК-ТКРС&quot;"/>
    <m/>
    <m/>
    <s v="Vt_4406"/>
    <n v="44"/>
    <d v="2026-03-29T00:00:00"/>
    <d v="2026-03-25T00:00:00"/>
    <d v="2026-04-08T00:00:00"/>
    <n v="10"/>
    <n v="0"/>
    <n v="240"/>
    <n v="33"/>
    <n v="49"/>
    <n v="14"/>
    <n v="441"/>
    <s v="КР13-1.3НТ"/>
    <s v="ВЦ по ЗТР"/>
    <s v="-"/>
    <m/>
    <m/>
    <m/>
    <s v="Средний"/>
  </r>
  <r>
    <s v="гнкт"/>
    <s v="15 ГНКТ ООО &quot;ИНК-ТКРС&quot;"/>
    <m/>
    <m/>
    <s v="Vt_2506"/>
    <n v="25"/>
    <d v="2026-04-08T00:00:00"/>
    <m/>
    <d v="2026-04-12T00:00:00"/>
    <n v="4"/>
    <n v="0"/>
    <n v="96"/>
    <n v="80"/>
    <n v="82"/>
    <n v="12"/>
    <n v="267"/>
    <s v="КР13-1.3НТ"/>
    <s v="ВЦ НКТ"/>
    <s v="-"/>
    <m/>
    <m/>
    <m/>
    <s v="Средний"/>
  </r>
  <r>
    <s v="гнкт"/>
    <s v="15 ГНКТ ООО &quot;ИНК-ТКРС&quot;"/>
    <m/>
    <s v="ож кгрп_x000a_ож зос"/>
    <s v="Bt_1203"/>
    <n v="12"/>
    <d v="2026-04-12T00:00:00"/>
    <d v="2026-03-05T00:00:00"/>
    <d v="2026-04-22T00:00:00"/>
    <n v="10"/>
    <n v="0"/>
    <n v="240"/>
    <n v="252"/>
    <n v="1"/>
    <n v="201"/>
    <n v="350"/>
    <s v="КР8-2.1НТ"/>
    <s v="ГИС ОПП на притоке"/>
    <s v="26.12.2026"/>
    <m/>
    <n v="1"/>
    <d v="2026-01-06T00:00:00"/>
    <s v="Высокий"/>
  </r>
  <r>
    <s v="гнкт"/>
    <s v="15 ГНКТ ООО &quot;ИНК-ТКРС&quot;"/>
    <m/>
    <s v="ож кгрп_x000a_ож зос"/>
    <s v="Bt_508"/>
    <n v="5"/>
    <d v="2026-04-22T00:00:00"/>
    <m/>
    <d v="2026-05-02T00:00:00"/>
    <n v="10"/>
    <n v="0"/>
    <n v="240"/>
    <n v="252"/>
    <n v="1"/>
    <n v="201"/>
    <n v="320"/>
    <s v="КР8-2.1НТ"/>
    <s v="ГИС ОПП под закачкой"/>
    <s v="17.03.2026"/>
    <m/>
    <m/>
    <m/>
    <s v="Высокий"/>
  </r>
  <r>
    <s v="гнкт"/>
    <s v="15 ГНКТ ООО &quot;ИНК-ТКРС&quot;"/>
    <m/>
    <s v="ож крс _x000a_ож кгрп"/>
    <s v="Bt_101"/>
    <n v="5"/>
    <d v="2026-05-02T00:00:00"/>
    <m/>
    <d v="2026-05-12T00:00:00"/>
    <n v="10"/>
    <n v="0"/>
    <n v="240"/>
    <n v="257"/>
    <n v="1"/>
    <n v="205"/>
    <n v="320"/>
    <s v="КР8-2.1НТ"/>
    <s v="ГИС ОПП под закачкой"/>
    <s v="29.12.2025"/>
    <m/>
    <m/>
    <m/>
    <s v="Высокий"/>
  </r>
  <r>
    <s v="гнкт"/>
    <s v="15 ГНКТ ООО &quot;ИНК-ТКРС&quot;"/>
    <m/>
    <m/>
    <s v="Vt_5105"/>
    <n v="51"/>
    <d v="2026-05-12T00:00:00"/>
    <m/>
    <d v="2026-05-26T00:00:00"/>
    <n v="14"/>
    <n v="0"/>
    <n v="336"/>
    <n v="800"/>
    <n v="0"/>
    <n v="0"/>
    <n v="0"/>
    <s v="КР13-1.3НТ"/>
    <s v="ГИС ОПП, по рез-ту закрытие МГРП"/>
    <s v="-"/>
    <m/>
    <m/>
    <m/>
    <s v="низкий"/>
  </r>
  <r>
    <s v="гнкт"/>
    <s v="15 ГНКТ ООО &quot;ИНК-ТКРС&quot;"/>
    <m/>
    <m/>
    <s v="Ic_919"/>
    <n v="9"/>
    <d v="2026-05-26T00:00:00"/>
    <m/>
    <d v="2026-05-31T00:00:00"/>
    <n v="5"/>
    <n v="0"/>
    <n v="120"/>
    <n v="20"/>
    <n v="1"/>
    <n v="16"/>
    <n v="390"/>
    <s v="КР13-1.3НТ"/>
    <s v="ВЦ по ЗТР"/>
    <s v="-"/>
    <m/>
    <m/>
    <m/>
    <s v="ВНР"/>
  </r>
  <r>
    <s v="гнкт"/>
    <s v="15 ГНКТ ООО &quot;ИНК-ТКРС&quot;"/>
    <s v="готов"/>
    <m/>
    <s v="Ya_115"/>
    <n v="68"/>
    <d v="2026-05-31T00:00:00"/>
    <m/>
    <d v="2026-06-05T00:00:00"/>
    <n v="5"/>
    <n v="0"/>
    <n v="120"/>
    <n v="137"/>
    <n v="89"/>
    <n v="12"/>
    <n v="0"/>
    <s v="КР13-1.3НТ"/>
    <s v="ВЦ"/>
    <s v="-"/>
    <m/>
    <m/>
    <m/>
    <s v="За рамками 3-месяцев"/>
  </r>
  <r>
    <s v="гнкт"/>
    <s v="15 ГНКТ ООО &quot;ИНК-ТКРС&quot;"/>
    <s v="готов"/>
    <m/>
    <s v="Ya_162"/>
    <n v="14"/>
    <d v="2026-06-05T00:00:00"/>
    <m/>
    <d v="2026-06-15T00:00:00"/>
    <n v="10"/>
    <n v="0"/>
    <n v="240"/>
    <n v="131"/>
    <n v="93"/>
    <n v="8"/>
    <n v="172"/>
    <s v="КР13-1.3НТ"/>
    <s v="при СНПХ неуспешн ВЦ ЗТР. "/>
    <s v="-"/>
    <m/>
    <m/>
    <m/>
    <s v="За рамками 3-месяцев"/>
  </r>
  <r>
    <s v="гнкт"/>
    <s v="39 ГНКТ ООО &quot;ИНК-ТКРС&quot;"/>
    <s v="готов"/>
    <s v="выполняется"/>
    <s v="Msh_7001"/>
    <n v="70"/>
    <d v="2026-03-04T00:00:00"/>
    <d v="2026-03-14T00:00:00"/>
    <d v="2026-03-10T00:00:00"/>
    <n v="5"/>
    <n v="1"/>
    <n v="144"/>
    <n v="646"/>
    <n v="17"/>
    <n v="443"/>
    <n v="1444"/>
    <s v="КР13-1.3НТ"/>
    <s v="ВЦ НКТ_x000a_Проходим лифт для размытия пробки, производим ПНКТ и выходим на компрессирование. Если эффект не получим ставим бригаду ТКРС на подъем УЭЦН, норм.забоя и спуск НКТ 114 с ПМ._x000a_"/>
    <s v="-"/>
    <m/>
    <m/>
    <m/>
    <s v="нет в перечне"/>
  </r>
  <r>
    <s v="гнкт"/>
    <s v="39 ГНКТ ООО &quot;ИНК-ТКРС&quot;"/>
    <s v="готов"/>
    <m/>
    <s v="Ki_4706"/>
    <n v="47"/>
    <d v="2026-03-10T00:00:00"/>
    <m/>
    <d v="2026-03-20T00:00:00"/>
    <n v="8"/>
    <n v="2"/>
    <n v="240"/>
    <n v="250"/>
    <n v="20"/>
    <n v="166"/>
    <n v="400"/>
    <s v="КР13-2НТ"/>
    <s v="НЗ - промывка после СТОП_x000a_Ставить только КРС-39 нужна БДТ 50,8 (комбинированная), ТЗ по скважине 5800м. НЗ до МГРП-5 Н=4238м"/>
    <s v="Пробурена "/>
    <d v="2026-03-22T00:00:00"/>
    <n v="3"/>
    <d v="2026-03-28T00:00:00"/>
    <s v="Высокий "/>
  </r>
  <r>
    <s v="гнкт"/>
    <s v="39 ГНКТ ООО &quot;ИНК-ТКРС&quot;"/>
    <m/>
    <m/>
    <s v="Msh_3708"/>
    <n v="37"/>
    <d v="2026-03-20T00:00:00"/>
    <m/>
    <d v="2026-03-23T00:00:00"/>
    <n v="3"/>
    <n v="0"/>
    <n v="72"/>
    <n v="299"/>
    <n v="89"/>
    <n v="27"/>
    <n v="4397"/>
    <s v="КР13-1.3НТ"/>
    <s v="ВЦ НКТ"/>
    <s v="-"/>
    <m/>
    <m/>
    <m/>
    <s v="нет в перечне"/>
  </r>
  <r>
    <s v="гнкт"/>
    <s v="39 ГНКТ ООО &quot;ИНК-ТКРС&quot;"/>
    <m/>
    <m/>
    <s v="Ya_208"/>
    <n v="56"/>
    <d v="2026-03-23T00:00:00"/>
    <d v="2026-03-26T00:00:00"/>
    <d v="2026-04-02T00:00:00"/>
    <n v="10"/>
    <n v="0"/>
    <n v="240"/>
    <n v="112"/>
    <n v="63"/>
    <n v="34"/>
    <n v="236"/>
    <s v="КР13-2НТ"/>
    <s v="НЗ - промывка после СТОП"/>
    <s v="-"/>
    <m/>
    <n v="1"/>
    <d v="2026-01-03T00:00:00"/>
    <s v="Высокий"/>
  </r>
  <r>
    <s v="гнкт"/>
    <s v="39 ГНКТ ООО &quot;ИНК-ТКРС&quot;"/>
    <m/>
    <m/>
    <s v="Am_202"/>
    <n v="1"/>
    <d v="2026-04-02T00:00:00"/>
    <d v="2026-03-25T00:00:00"/>
    <d v="2026-04-05T00:00:00"/>
    <n v="3"/>
    <n v="0"/>
    <n v="72"/>
    <n v="52"/>
    <n v="43"/>
    <n v="24"/>
    <n v="35"/>
    <s v="КР13-1.3НТ"/>
    <s v="ВЦ НКТ"/>
    <s v="-"/>
    <m/>
    <m/>
    <m/>
    <s v="Высокий"/>
  </r>
  <r>
    <s v="гнкт"/>
    <s v="39 ГНКТ ООО &quot;ИНК-ТКРС&quot;"/>
    <m/>
    <m/>
    <s v="Au_387"/>
    <n v="95"/>
    <d v="2026-04-05T00:00:00"/>
    <d v="2026-03-28T00:00:00"/>
    <d v="2026-04-08T00:00:00"/>
    <n v="3"/>
    <n v="0"/>
    <n v="72"/>
    <n v="112"/>
    <n v="82"/>
    <n v="17"/>
    <n v="499"/>
    <s v="КР13-1.3НТ"/>
    <s v="ВЦ НКТ"/>
    <s v="-"/>
    <m/>
    <m/>
    <m/>
    <s v="нет в перечне"/>
  </r>
  <r>
    <s v="гнкт"/>
    <s v="39 ГНКТ ООО &quot;ИНК-ТКРС&quot;"/>
    <m/>
    <m/>
    <s v="Ya_294"/>
    <n v="34"/>
    <d v="2026-04-08T00:00:00"/>
    <d v="2026-03-31T00:00:00"/>
    <d v="2026-04-16T00:00:00"/>
    <n v="8"/>
    <n v="0"/>
    <n v="192"/>
    <n v="20"/>
    <n v="40"/>
    <n v="10"/>
    <n v="352"/>
    <s v="КР13-1.3НТ"/>
    <s v="Потеря циркуляции по затрубному пространству. "/>
    <s v="-"/>
    <m/>
    <m/>
    <m/>
    <s v="Высокий"/>
  </r>
  <r>
    <s v="гнкт"/>
    <s v="39 ГНКТ ООО &quot;ИНК-ТКРС&quot;"/>
    <m/>
    <m/>
    <s v="Au_347"/>
    <n v="100"/>
    <d v="2026-04-16T00:00:00"/>
    <m/>
    <d v="2026-04-24T00:00:00"/>
    <n v="8"/>
    <n v="0"/>
    <n v="192"/>
    <n v="64"/>
    <n v="83"/>
    <n v="9"/>
    <n v="146"/>
    <s v="КР13-1.3НТ"/>
    <s v="Потеря циркуляции по затрубному пространству. "/>
    <s v="-"/>
    <m/>
    <m/>
    <m/>
    <s v="Высокий"/>
  </r>
  <r>
    <s v="гнкт"/>
    <s v="39 ГНКТ ООО &quot;ИНК-ТКРС&quot;"/>
    <m/>
    <m/>
    <s v="Ya_709"/>
    <n v="44"/>
    <d v="2026-04-24T00:00:00"/>
    <m/>
    <d v="2026-04-27T00:00:00"/>
    <n v="3"/>
    <n v="0"/>
    <n v="72"/>
    <n v="150"/>
    <n v="0"/>
    <n v="0"/>
    <n v="0"/>
    <s v="КР13-1.3НТ"/>
    <s v="ВЦ НКТ"/>
    <s v="-"/>
    <m/>
    <m/>
    <m/>
    <s v="Средний"/>
  </r>
  <r>
    <s v="гнкт"/>
    <s v="39 ГНКТ ООО &quot;ИНК-ТКРС&quot;"/>
    <m/>
    <m/>
    <s v="Ya_619"/>
    <n v="59"/>
    <d v="2026-04-27T00:00:00"/>
    <m/>
    <d v="2026-04-30T00:00:00"/>
    <n v="3"/>
    <n v="0"/>
    <n v="72"/>
    <n v="6"/>
    <n v="50"/>
    <n v="2"/>
    <n v="146"/>
    <s v="КР13-1.3НТ"/>
    <s v="ВЦ НКТ"/>
    <s v="-"/>
    <m/>
    <m/>
    <m/>
    <s v="Высокий"/>
  </r>
  <r>
    <s v="гнкт"/>
    <s v="39 ГНКТ ООО &quot;ИНК-ТКРС&quot;"/>
    <m/>
    <m/>
    <s v="Au_9601"/>
    <n v="96"/>
    <d v="2026-04-30T00:00:00"/>
    <m/>
    <d v="2026-05-05T00:00:00"/>
    <n v="5"/>
    <n v="0"/>
    <n v="120"/>
    <n v="61"/>
    <n v="96"/>
    <n v="2"/>
    <n v="7247"/>
    <s v="КР13-1.3НТ"/>
    <s v="Потеря циркуляции по затрубному пространству. "/>
    <s v="-"/>
    <m/>
    <m/>
    <m/>
    <s v="Средний"/>
  </r>
  <r>
    <s v="гнкт"/>
    <s v="39 ГНКТ ООО &quot;ИНК-ТКРС&quot;"/>
    <m/>
    <m/>
    <s v="Ma_800"/>
    <n v="9"/>
    <d v="2026-05-05T00:00:00"/>
    <m/>
    <d v="2026-05-13T00:00:00"/>
    <n v="8"/>
    <n v="0"/>
    <n v="192"/>
    <n v="125"/>
    <n v="0"/>
    <n v="0"/>
    <n v="0"/>
    <s v="КР13-1.3НТ"/>
    <s v="ВЦ НКТ"/>
    <s v="-"/>
    <m/>
    <m/>
    <m/>
    <s v="Высокий"/>
  </r>
  <r>
    <s v="гнкт"/>
    <s v="39 ГНКТ ООО &quot;ИНК-ТКРС&quot;"/>
    <m/>
    <m/>
    <s v="Ma_710"/>
    <n v="4"/>
    <d v="2026-05-13T00:00:00"/>
    <m/>
    <d v="2026-05-21T00:00:00"/>
    <n v="8"/>
    <n v="0"/>
    <n v="192"/>
    <n v="900000"/>
    <n v="0"/>
    <n v="0"/>
    <n v="0"/>
    <s v="КР13-1.3НТ"/>
    <s v="НЗ"/>
    <s v="-"/>
    <m/>
    <m/>
    <m/>
    <s v="Высокий"/>
  </r>
  <r>
    <s v="гнкт"/>
    <s v="39 ГНКТ ООО &quot;ИНК-ТКРС&quot;"/>
    <m/>
    <m/>
    <s v="Au_9101"/>
    <n v="91"/>
    <d v="2026-05-21T00:00:00"/>
    <m/>
    <d v="2026-05-31T00:00:00"/>
    <n v="10"/>
    <n v="0"/>
    <n v="240"/>
    <n v="1000000"/>
    <n v="0"/>
    <n v="120"/>
    <n v="0"/>
    <s v="КР8-2.1НТ"/>
    <s v="ГИС ОПП"/>
    <s v="-"/>
    <m/>
    <m/>
    <m/>
    <s v="Средний"/>
  </r>
  <r>
    <s v="гнкт"/>
    <s v="39 ГНКТ ООО &quot;ИНК-ТКРС&quot;"/>
    <m/>
    <m/>
    <s v="Ma_719"/>
    <n v="18"/>
    <d v="2026-05-31T00:00:00"/>
    <m/>
    <d v="2026-06-08T00:00:00"/>
    <n v="8"/>
    <n v="0"/>
    <n v="192"/>
    <n v="0"/>
    <n v="0"/>
    <n v="0"/>
    <n v="0"/>
    <s v="КР8-2.1НТ"/>
    <s v="Определение интервалов поступления воды, с последующим закрытием муфт ГРП, по результату ОПП."/>
    <s v="-"/>
    <m/>
    <m/>
    <m/>
    <s v="Средний"/>
  </r>
  <r>
    <s v="гнкт"/>
    <s v="39 ГНКТ ООО &quot;ИНК-ТКРС&quot;"/>
    <m/>
    <m/>
    <s v="Ya_621"/>
    <n v="49"/>
    <d v="2026-06-08T00:00:00"/>
    <m/>
    <d v="2026-06-11T00:00:00"/>
    <n v="3"/>
    <n v="0"/>
    <n v="72"/>
    <n v="28"/>
    <n v="89"/>
    <n v="3"/>
    <n v="1206"/>
    <s v="КР13-1.3НТ"/>
    <s v="ВЦ НКТ"/>
    <s v="-"/>
    <m/>
    <m/>
    <m/>
    <s v="Высокий"/>
  </r>
  <r>
    <s v="гнкт"/>
    <s v="Звено ОС №1 ООО &quot;ИНК-ТКРС&quot;"/>
    <s v="готов"/>
    <s v="выполняется"/>
    <s v="Ki_4501"/>
    <n v="45"/>
    <d v="2026-02-25T00:00:00"/>
    <m/>
    <d v="2026-03-13T00:00:00"/>
    <n v="15"/>
    <n v="1"/>
    <n v="384"/>
    <n v="548"/>
    <n v="90"/>
    <n v="46"/>
    <n v="500"/>
    <s v="КР-ОС-6"/>
    <s v="отработка ЭЦНом 7 суток"/>
    <s v="Пробурена "/>
    <m/>
    <m/>
    <m/>
    <s v="Высокий "/>
  </r>
  <r>
    <s v="гнкт"/>
    <s v="Звено ОС №1 ООО &quot;ИНК-ТКРС&quot;"/>
    <s v="готов"/>
    <s v="зос"/>
    <s v="Bt_1203"/>
    <n v="12"/>
    <d v="2026-03-13T00:00:00"/>
    <d v="2026-03-05T00:00:00"/>
    <d v="2026-03-26T00:00:00"/>
    <n v="13"/>
    <n v="0"/>
    <n v="312"/>
    <n v="252"/>
    <n v="1"/>
    <n v="201"/>
    <n v="350"/>
    <s v="КР-ОС-6"/>
    <s v="Освоение после ГРП. "/>
    <s v="Пробурена "/>
    <m/>
    <n v="1"/>
    <d v="2026-01-06T00:00:00"/>
    <s v="Высокий"/>
  </r>
  <r>
    <s v="гнкт"/>
    <s v="Звено ОС №1 ООО &quot;ИНК-ТКРС&quot;"/>
    <m/>
    <s v="ож кгрп"/>
    <s v="Bt_1203"/>
    <n v="12"/>
    <d v="2026-03-26T00:00:00"/>
    <d v="2026-03-05T00:00:00"/>
    <d v="2026-04-02T00:00:00"/>
    <n v="7"/>
    <n v="0"/>
    <n v="168"/>
    <n v="252"/>
    <n v="1"/>
    <n v="201"/>
    <n v="350"/>
    <s v="КР-ОС-6"/>
    <s v="Освоение после КГРП. "/>
    <s v="Пробурена "/>
    <m/>
    <n v="1"/>
    <d v="2026-01-06T00:00:00"/>
    <s v="Высокий"/>
  </r>
  <r>
    <s v="гнкт"/>
    <s v="Звено ОС №1 ООО &quot;ИНК-ТКРС&quot;"/>
    <m/>
    <s v="ож грп _x000a_ож крс"/>
    <s v="Au_9701"/>
    <n v="97"/>
    <d v="2026-04-02T00:00:00"/>
    <d v="2026-03-16T00:00:00"/>
    <d v="2026-04-12T00:00:00"/>
    <n v="10"/>
    <n v="0"/>
    <n v="240"/>
    <n v="75"/>
    <n v="90"/>
    <n v="6"/>
    <n v="195"/>
    <s v="КР7-3"/>
    <s v="отработка после ГРП "/>
    <s v="Пробурена "/>
    <d v="2026-05-06T00:00:00"/>
    <n v="1"/>
    <d v="2026-05-08T00:00:00"/>
    <s v="Средний"/>
  </r>
  <r>
    <s v="гнкт"/>
    <s v="Звено ОС №1 ООО &quot;ИНК-ТКРС&quot;"/>
    <m/>
    <m/>
    <s v="Vt_5011"/>
    <n v="50"/>
    <d v="2026-04-12T00:00:00"/>
    <m/>
    <d v="2026-04-22T00:00:00"/>
    <n v="10"/>
    <n v="0"/>
    <n v="240"/>
    <n v="262"/>
    <n v="30"/>
    <n v="149"/>
    <n v="320"/>
    <s v="КР-ОС-6"/>
    <s v="отработка после ГРП "/>
    <s v="Пробурена "/>
    <d v="2026-04-27T00:00:00"/>
    <n v="2"/>
    <d v="2026-05-01T00:00:00"/>
    <s v="низкий"/>
  </r>
  <r>
    <s v="гнкт"/>
    <s v="Звено ОС №1 ООО &quot;ИНК-ТКРС&quot;"/>
    <m/>
    <m/>
    <s v="Bt_505"/>
    <n v="5"/>
    <d v="2026-04-22T00:00:00"/>
    <m/>
    <d v="2026-05-02T00:00:00"/>
    <n v="10"/>
    <n v="0"/>
    <n v="240"/>
    <n v="157"/>
    <n v="1"/>
    <n v="125"/>
    <n v="320"/>
    <s v="КР-ОС-6"/>
    <s v="отработка после ГРП "/>
    <s v="Пробурена "/>
    <d v="2026-04-20T00:00:00"/>
    <n v="3"/>
    <d v="2026-04-26T00:00:00"/>
    <s v="Средний"/>
  </r>
  <r>
    <s v="гнкт"/>
    <s v="Звено ОС №1 ООО &quot;ИНК-ТКРС&quot;"/>
    <m/>
    <s v="ож подгот"/>
    <s v="Ki_71602"/>
    <n v="716"/>
    <d v="2026-05-02T00:00:00"/>
    <m/>
    <d v="2026-05-12T00:00:00"/>
    <n v="10"/>
    <n v="0"/>
    <n v="240"/>
    <n v="500"/>
    <n v="98"/>
    <n v="8"/>
    <n v="430"/>
    <s v="КР-ОС-8"/>
    <s v="отработка ЭЦНом"/>
    <s v="Пробурена "/>
    <m/>
    <m/>
    <m/>
    <s v="Средний"/>
  </r>
  <r>
    <s v="гнкт"/>
    <s v="Звено ОС №1 ООО &quot;ИНК-ТКРС&quot;"/>
    <m/>
    <s v="ож грп"/>
    <s v="Bt_1502"/>
    <n v="15"/>
    <d v="2026-05-12T00:00:00"/>
    <d v="2026-03-14T00:00:00"/>
    <d v="2026-05-23T00:00:00"/>
    <n v="11"/>
    <n v="0"/>
    <n v="264"/>
    <n v="250"/>
    <n v="0"/>
    <n v="205"/>
    <n v="0"/>
    <s v="КР7-3"/>
    <s v="отработка после ГРП "/>
    <s v="-"/>
    <d v="2026-04-10T00:00:00"/>
    <n v="3"/>
    <d v="2026-04-16T00:00:00"/>
    <s v="Высокий"/>
  </r>
  <r>
    <s v="гнкт"/>
    <s v="Звено ОС №3 ООО &quot;ИНК-ТКРС&quot;"/>
    <s v="готов"/>
    <s v="выполняется"/>
    <s v="Bt_1505"/>
    <n v="15"/>
    <d v="2026-02-27T00:00:00"/>
    <m/>
    <d v="2026-03-10T00:00:00"/>
    <n v="11"/>
    <n v="0"/>
    <n v="264"/>
    <n v="221"/>
    <n v="1"/>
    <n v="177"/>
    <n v="320"/>
    <s v="КР-ОС-6"/>
    <s v="отработка после ГРП "/>
    <s v="30.01.2026"/>
    <m/>
    <n v="5"/>
    <d v="2026-02-25T00:00:00"/>
    <s v="Высокий"/>
  </r>
  <r>
    <s v="гнкт"/>
    <s v="Бригада КГРП ООО &quot;ИНК-ТКРС&quot;"/>
    <s v="готов"/>
    <s v="выполняется"/>
    <s v="Vt_8806"/>
    <n v="88"/>
    <d v="2026-03-06T00:00:00"/>
    <d v="2026-03-05T00:00:00"/>
    <d v="2026-03-08T00:00:00"/>
    <n v="2"/>
    <n v="0"/>
    <n v="48"/>
    <n v="138"/>
    <n v="10"/>
    <n v="102"/>
    <n v="659"/>
    <s v="КР7-1"/>
    <s v="ОПЗ водой 300 м3"/>
    <s v="-"/>
    <m/>
    <m/>
    <m/>
    <s v="нет в перечне"/>
  </r>
  <r>
    <s v="гнкт"/>
    <s v="Бригада КГРП ООО &quot;ИНК-ТКРС&quot;"/>
    <m/>
    <m/>
    <s v="Vt_9107"/>
    <n v="91"/>
    <d v="2026-03-08T00:00:00"/>
    <m/>
    <d v="2026-03-10T00:00:00"/>
    <n v="2"/>
    <n v="0"/>
    <n v="48"/>
    <n v="59"/>
    <n v="3"/>
    <n v="47"/>
    <n v="329"/>
    <s v="КР7-1"/>
    <s v="ОПЗ водой 300 м3"/>
    <s v="-"/>
    <m/>
    <m/>
    <m/>
    <s v="нет в перечне"/>
  </r>
  <r>
    <s v="гнкт"/>
    <s v="Бригада КГРП ООО &quot;ИНК-ТКРС&quot;"/>
    <m/>
    <m/>
    <s v="Vt_9102"/>
    <n v="91"/>
    <d v="2026-03-10T00:00:00"/>
    <m/>
    <d v="2026-03-13T00:00:00"/>
    <n v="3"/>
    <n v="0"/>
    <n v="72"/>
    <n v="244"/>
    <n v="10"/>
    <n v="180"/>
    <n v="0"/>
    <s v="КР7-1"/>
    <s v="ОПЗ водой 300 м3"/>
    <s v="-"/>
    <m/>
    <m/>
    <m/>
    <s v="низкий"/>
  </r>
  <r>
    <s v="гнкт"/>
    <s v="Бригада КГРП ООО &quot;ИНК-ТКРС&quot;"/>
    <m/>
    <m/>
    <s v="Vt_9104"/>
    <n v="91"/>
    <d v="2026-03-13T00:00:00"/>
    <m/>
    <d v="2026-03-15T00:00:00"/>
    <n v="2"/>
    <n v="0"/>
    <n v="48"/>
    <n v="62"/>
    <n v="33"/>
    <n v="34"/>
    <n v="385"/>
    <s v="КР7-1"/>
    <s v="ОПЗ водой 300 м3"/>
    <s v="-"/>
    <m/>
    <m/>
    <m/>
    <s v="нет в перечне"/>
  </r>
  <r>
    <s v="гнкт"/>
    <s v="Бригада КГРП ООО &quot;ИНК-ТКРС&quot;"/>
    <m/>
    <m/>
    <s v="Vt_9101"/>
    <n v="91"/>
    <d v="2026-03-15T00:00:00"/>
    <m/>
    <d v="2026-03-18T00:00:00"/>
    <n v="3"/>
    <n v="0"/>
    <n v="72"/>
    <n v="25"/>
    <n v="65"/>
    <n v="7"/>
    <n v="196"/>
    <s v="КР7-1"/>
    <s v="ОПЗ водой 300 м3"/>
    <s v="-"/>
    <m/>
    <m/>
    <m/>
    <s v="нет в перечне"/>
  </r>
  <r>
    <s v="гнкт"/>
    <s v="Бригада КГРП ООО &quot;ИНК-ТКРС&quot;"/>
    <m/>
    <m/>
    <s v="Bt_508"/>
    <n v="5"/>
    <d v="2026-03-18T00:00:00"/>
    <m/>
    <d v="2026-03-23T00:00:00"/>
    <n v="5"/>
    <n v="0"/>
    <n v="120"/>
    <n v="252"/>
    <n v="1"/>
    <n v="201"/>
    <n v="320"/>
    <s v="КР-ОС-6"/>
    <s v="КГРП"/>
    <s v="17.03.2026"/>
    <m/>
    <m/>
    <m/>
    <s v="Высокий"/>
  </r>
  <r>
    <s v="гнкт"/>
    <s v="Бригада КГРП ООО &quot;ИНК-ТКРС&quot;"/>
    <m/>
    <s v="ож зос"/>
    <s v="Bt_1203"/>
    <n v="12"/>
    <d v="2026-03-23T00:00:00"/>
    <d v="2026-03-05T00:00:00"/>
    <d v="2026-03-27T00:00:00"/>
    <n v="4"/>
    <n v="0"/>
    <n v="96"/>
    <n v="252"/>
    <n v="1"/>
    <n v="201"/>
    <n v="350"/>
    <s v="КР-ОС-6"/>
    <s v="КГРП - 2"/>
    <s v="пробурена"/>
    <m/>
    <n v="1"/>
    <d v="2026-01-06T00:00:00"/>
    <s v="Высокий"/>
  </r>
  <r>
    <s v="гнкт"/>
    <s v="Бригада КГРП ООО &quot;ИНК-ТКРС&quot;"/>
    <m/>
    <m/>
    <s v="Vt_8812"/>
    <n v="88"/>
    <d v="2026-03-27T00:00:00"/>
    <d v="2026-03-23T00:00:00"/>
    <d v="2026-04-05T00:00:00"/>
    <n v="9"/>
    <n v="0"/>
    <n v="216"/>
    <n v="227"/>
    <n v="10"/>
    <n v="166"/>
    <n v="320"/>
    <s v="КР-ОС-1"/>
    <s v="Активации, СКО"/>
    <s v="22.03.2026"/>
    <m/>
    <m/>
    <m/>
    <s v="Высокий"/>
  </r>
  <r>
    <s v="гнкт"/>
    <s v="Бригада КГРП ООО &quot;ИНК-ТКРС&quot;"/>
    <m/>
    <s v="ож крс"/>
    <s v="Bt_101"/>
    <n v="5"/>
    <d v="2026-04-05T00:00:00"/>
    <m/>
    <d v="2026-04-10T00:00:00"/>
    <n v="5"/>
    <n v="0"/>
    <n v="120"/>
    <n v="257"/>
    <n v="1"/>
    <n v="205"/>
    <n v="320"/>
    <s v="КР-ОС-1"/>
    <s v="Активации, СКО, Освоение_x000a_"/>
    <s v="29.12.2025"/>
    <m/>
    <m/>
    <m/>
    <s v="Высокий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Сводная таблица1" cacheId="10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>
  <location ref="A6:C23" firstHeaderRow="1" firstDataRow="1" firstDataCol="0"/>
  <pivotFields count="23">
    <pivotField multipleItemSelectionAllowed="1" showAll="0"/>
    <pivotField showAll="0"/>
    <pivotField showAll="0"/>
    <pivotField showAll="0"/>
    <pivotField showAll="0"/>
    <pivotField showAll="0"/>
    <pivotField numFmtId="14"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00000000-0016-0000-0000-000000000000}" autoFormatId="16" applyNumberFormats="0" applyBorderFormats="0" applyFontFormats="0" applyPatternFormats="0" applyAlignmentFormats="0" applyWidthHeightFormats="0">
  <queryTableRefresh nextId="26">
    <queryTableFields count="23">
      <queryTableField id="1" name="Участок" tableColumnId="1"/>
      <queryTableField id="2" name="Бригада" tableColumnId="2"/>
      <queryTableField id="3" name="Наличие НЗ/ПР" tableColumnId="3"/>
      <queryTableField id="4" name="статус" tableColumnId="4"/>
      <queryTableField id="6" name="Скв" tableColumnId="6"/>
      <queryTableField id="7" name="Куст" tableColumnId="7"/>
      <queryTableField id="8" name="дата начала (план)" tableColumnId="8"/>
      <queryTableField id="9" name="дата  ГТМ" tableColumnId="9"/>
      <queryTableField id="10" name="заверш рем (план)" tableColumnId="10"/>
      <queryTableField id="11" name="Дн. + актировка с 01.12-15.03 (формула) " tableColumnId="11"/>
      <queryTableField id="12" name="Метео" tableColumnId="12"/>
      <queryTableField id="13" name="Продолжительность" tableColumnId="13"/>
      <queryTableField id="14" name="Qж/Qг, м3/сут" tableColumnId="14"/>
      <queryTableField id="15" name="Н2О, %" tableColumnId="15"/>
      <queryTableField id="16" name="Qн, тн/сут" tableColumnId="16"/>
      <queryTableField id="17" name="ГФ, м3/м3" tableColumnId="17"/>
      <queryTableField id="18" name="вид КР" tableColumnId="18"/>
      <queryTableField id="19" name="Планируемый объем работ" tableColumnId="19"/>
      <queryTableField id="21" name="Дата выхода их бурения" tableColumnId="21"/>
      <queryTableField id="22" name="начГРП" tableColumnId="22"/>
      <queryTableField id="23" name="стадий ГРП" tableColumnId="23"/>
      <queryTableField id="24" name="заверш ГРП" tableColumnId="24"/>
      <queryTableField id="25" name="Приоритет" tableColumnId="2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D44E3389-1480-4216-8D80-49456EFFDFAC}" autoFormatId="16" applyNumberFormats="0" applyBorderFormats="0" applyFontFormats="0" applyPatternFormats="0" applyAlignmentFormats="0" applyWidthHeightFormats="0">
  <queryTableRefresh nextId="29">
    <queryTableFields count="16">
      <queryTableField id="26" name="ЦДНГ" tableColumnId="1"/>
      <queryTableField id="2" name="Бригада" tableColumnId="2"/>
      <queryTableField id="6" name="Скв" tableColumnId="6"/>
      <queryTableField id="7" name="Куст" tableColumnId="7"/>
      <queryTableField id="8" name="дата начала (план)" tableColumnId="8"/>
      <queryTableField id="10" name="заверш рем (план)" tableColumnId="10"/>
      <queryTableField id="13" name="Продолжительность" tableColumnId="13"/>
      <queryTableField id="14" name="Qж/Qг, м3/сут" tableColumnId="14"/>
      <queryTableField id="15" name="Н2О, %" tableColumnId="15"/>
      <queryTableField id="16" name="Qн, тн/сут" tableColumnId="16"/>
      <queryTableField id="18" name="вид КР" tableColumnId="18"/>
      <queryTableField id="19" name="Планируемый объем работ" tableColumnId="19"/>
      <queryTableField id="21" name="Дата выхода их бурения" tableColumnId="21"/>
      <queryTableField id="22" name="начГРП" tableColumnId="22"/>
      <queryTableField id="23" name="стадий ГРП" tableColumnId="23"/>
      <queryTableField id="24" name="заверш ГРП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График_ТКРС" displayName="График_ТКРС" ref="A1:W385" tableType="queryTable" totalsRowShown="0" headerRowDxfId="52" dataDxfId="51">
  <autoFilter ref="A1:W385" xr:uid="{00000000-0009-0000-0100-000001000000}"/>
  <tableColumns count="23">
    <tableColumn id="1" xr3:uid="{00000000-0010-0000-0000-000001000000}" uniqueName="1" name="Участок" queryTableFieldId="1" dataDxfId="22"/>
    <tableColumn id="2" xr3:uid="{00000000-0010-0000-0000-000002000000}" uniqueName="2" name="Бригада" queryTableFieldId="2" dataDxfId="21"/>
    <tableColumn id="3" xr3:uid="{00000000-0010-0000-0000-000003000000}" uniqueName="3" name="Наличие НЗ/ПР" queryTableFieldId="3" dataDxfId="20"/>
    <tableColumn id="4" xr3:uid="{00000000-0010-0000-0000-000004000000}" uniqueName="4" name="статус" queryTableFieldId="4" dataDxfId="19"/>
    <tableColumn id="6" xr3:uid="{00000000-0010-0000-0000-000006000000}" uniqueName="6" name="Скв" queryTableFieldId="6" dataDxfId="18"/>
    <tableColumn id="7" xr3:uid="{00000000-0010-0000-0000-000007000000}" uniqueName="7" name="Куст" queryTableFieldId="7" dataDxfId="17"/>
    <tableColumn id="8" xr3:uid="{00000000-0010-0000-0000-000008000000}" uniqueName="8" name="дата начала (план)" queryTableFieldId="8" dataDxfId="16"/>
    <tableColumn id="9" xr3:uid="{00000000-0010-0000-0000-000009000000}" uniqueName="9" name="дата  ГТМ" queryTableFieldId="9" dataDxfId="15"/>
    <tableColumn id="10" xr3:uid="{00000000-0010-0000-0000-00000A000000}" uniqueName="10" name="заверш рем (план)" queryTableFieldId="10" dataDxfId="14"/>
    <tableColumn id="11" xr3:uid="{00000000-0010-0000-0000-00000B000000}" uniqueName="11" name="Дн. + актировка с 01.12-15.03 (формула) " queryTableFieldId="11" dataDxfId="13"/>
    <tableColumn id="12" xr3:uid="{00000000-0010-0000-0000-00000C000000}" uniqueName="12" name="Метео" queryTableFieldId="12" dataDxfId="12"/>
    <tableColumn id="13" xr3:uid="{00000000-0010-0000-0000-00000D000000}" uniqueName="13" name="Продолжительность" queryTableFieldId="13" dataDxfId="11"/>
    <tableColumn id="14" xr3:uid="{00000000-0010-0000-0000-00000E000000}" uniqueName="14" name="Qж/Qг, м3/сут" queryTableFieldId="14" dataDxfId="10"/>
    <tableColumn id="15" xr3:uid="{00000000-0010-0000-0000-00000F000000}" uniqueName="15" name="Н2О, %" queryTableFieldId="15" dataDxfId="9"/>
    <tableColumn id="16" xr3:uid="{00000000-0010-0000-0000-000010000000}" uniqueName="16" name="Qн, тн/сут" queryTableFieldId="16" dataDxfId="8"/>
    <tableColumn id="17" xr3:uid="{00000000-0010-0000-0000-000011000000}" uniqueName="17" name="ГФ, м3/м3" queryTableFieldId="17" dataDxfId="7"/>
    <tableColumn id="18" xr3:uid="{00000000-0010-0000-0000-000012000000}" uniqueName="18" name="вид КР" queryTableFieldId="18" dataDxfId="6"/>
    <tableColumn id="19" xr3:uid="{00000000-0010-0000-0000-000013000000}" uniqueName="19" name="Планируемый объем работ" queryTableFieldId="19" dataDxfId="5"/>
    <tableColumn id="21" xr3:uid="{00000000-0010-0000-0000-000015000000}" uniqueName="21" name="Дата выхода их бурения" queryTableFieldId="21" dataDxfId="4"/>
    <tableColumn id="22" xr3:uid="{00000000-0010-0000-0000-000016000000}" uniqueName="22" name="начГРП" queryTableFieldId="22" dataDxfId="3"/>
    <tableColumn id="23" xr3:uid="{00000000-0010-0000-0000-000017000000}" uniqueName="23" name="стадий ГРП" queryTableFieldId="23" dataDxfId="2"/>
    <tableColumn id="24" xr3:uid="{00000000-0010-0000-0000-000018000000}" uniqueName="24" name="заверш ГРП" queryTableFieldId="24" dataDxfId="1"/>
    <tableColumn id="25" xr3:uid="{00000000-0010-0000-0000-000019000000}" uniqueName="25" name="Приоритет" queryTableFieldId="25" dataDxfId="0"/>
  </tableColumns>
  <tableStyleInfo name="Стиль таблицы 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03A768-7F92-469D-A566-1DB910364E26}" name="Недельный_график_ТКРС" displayName="Недельный_график_ТКРС" ref="A1:P22" tableType="queryTable" totalsRowShown="0" headerRowDxfId="50" dataDxfId="49">
  <autoFilter ref="A1:P22" xr:uid="{00000000-0009-0000-0100-000001000000}">
    <filterColumn colId="2">
      <colorFilter dxfId="48"/>
    </filterColumn>
  </autoFilter>
  <tableColumns count="16">
    <tableColumn id="1" xr3:uid="{3B8E4DC3-2869-45E4-B21E-A0D6C89F8125}" uniqueName="1" name="ЦДНГ" queryTableFieldId="26"/>
    <tableColumn id="2" xr3:uid="{3489BCE5-C55B-487F-9D94-47B8B5B995FB}" uniqueName="2" name="Бригада" queryTableFieldId="2" dataDxfId="47"/>
    <tableColumn id="6" xr3:uid="{7A1BCB51-C886-41A4-B1A3-44847DE6CB26}" uniqueName="6" name="Скв" queryTableFieldId="6" dataDxfId="46"/>
    <tableColumn id="7" xr3:uid="{AF2A0835-52BC-47A5-8EBE-6B90C0C60568}" uniqueName="7" name="Куст" queryTableFieldId="7" dataDxfId="45"/>
    <tableColumn id="8" xr3:uid="{A23ADACC-390D-4DF3-BB9B-6514908FD9FB}" uniqueName="8" name="дата начала (план)" queryTableFieldId="8" dataDxfId="44"/>
    <tableColumn id="10" xr3:uid="{202684E8-D8EE-4BD7-AD47-47969B71A6AA}" uniqueName="10" name="заверш рем (план)" queryTableFieldId="10" dataDxfId="43"/>
    <tableColumn id="13" xr3:uid="{F8F2B23E-47B8-4307-85AA-502AD86DE152}" uniqueName="13" name="Продолжительность" queryTableFieldId="13" dataDxfId="42"/>
    <tableColumn id="14" xr3:uid="{8BAC8549-027C-4D64-A7E1-8A912C168BFC}" uniqueName="14" name="Qж/Qг, м3/сут" queryTableFieldId="14" dataDxfId="41"/>
    <tableColumn id="15" xr3:uid="{6CB64733-A00B-4B8E-B670-5B608B1D9B6C}" uniqueName="15" name="Н2О, %" queryTableFieldId="15" dataDxfId="40"/>
    <tableColumn id="16" xr3:uid="{AB5349A5-516E-458A-AD6B-2F8F1D20D3ED}" uniqueName="16" name="Qн, тн/сут" queryTableFieldId="16" dataDxfId="39"/>
    <tableColumn id="18" xr3:uid="{E3B1A271-F074-44CF-9DE4-87F77070464E}" uniqueName="18" name="вид КР" queryTableFieldId="18" dataDxfId="38"/>
    <tableColumn id="19" xr3:uid="{5444A004-C96F-415B-82E6-1C47E3BD2E55}" uniqueName="19" name="Планируемый объем работ" queryTableFieldId="19" dataDxfId="37"/>
    <tableColumn id="21" xr3:uid="{45160883-87AB-42CF-80CB-61B13CB41CF1}" uniqueName="21" name="Дата выхода их бурения" queryTableFieldId="21" dataDxfId="36"/>
    <tableColumn id="22" xr3:uid="{1635BBA3-A405-4D08-B417-3B6A913AC277}" uniqueName="22" name="начГРП" queryTableFieldId="22" dataDxfId="35"/>
    <tableColumn id="23" xr3:uid="{5D34A627-AAB5-40C9-98D6-BD95A917A595}" uniqueName="23" name="стадий ГРП" queryTableFieldId="23" dataDxfId="34"/>
    <tableColumn id="24" xr3:uid="{18E43326-DD4D-4A36-B5E5-5B4FAB94F495}" uniqueName="24" name="заверш ГРП" queryTableFieldId="24" dataDxfId="33"/>
  </tableColumns>
  <tableStyleInfo name="Стиль таблицы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pageSetUpPr fitToPage="1"/>
  </sheetPr>
  <dimension ref="A1:Y429"/>
  <sheetViews>
    <sheetView tabSelected="1" zoomScale="70" zoomScaleNormal="70" workbookViewId="0">
      <pane xSplit="5" ySplit="1" topLeftCell="F365" activePane="bottomRight" state="frozen"/>
      <selection pane="topRight" activeCell="F1" sqref="F1"/>
      <selection pane="bottomLeft" activeCell="A2" sqref="A2"/>
      <selection pane="bottomRight" activeCell="H382" sqref="H382"/>
    </sheetView>
  </sheetViews>
  <sheetFormatPr defaultRowHeight="15" x14ac:dyDescent="0.25"/>
  <cols>
    <col min="1" max="1" width="4.140625" style="1" customWidth="1"/>
    <col min="2" max="2" width="28.7109375" style="1" bestFit="1" customWidth="1"/>
    <col min="3" max="3" width="10.42578125" style="1" customWidth="1"/>
    <col min="4" max="4" width="13" style="19" customWidth="1"/>
    <col min="5" max="5" width="14.28515625" style="1" customWidth="1"/>
    <col min="6" max="6" width="12.85546875" style="1" bestFit="1" customWidth="1"/>
    <col min="7" max="9" width="13" style="1" customWidth="1"/>
    <col min="10" max="10" width="10.85546875" style="1" customWidth="1"/>
    <col min="11" max="11" width="11.28515625" style="1" customWidth="1"/>
    <col min="12" max="12" width="9.42578125" style="1" bestFit="1" customWidth="1"/>
    <col min="13" max="13" width="10.85546875" style="1" customWidth="1"/>
    <col min="14" max="17" width="11.85546875" style="1" customWidth="1"/>
    <col min="18" max="18" width="45.42578125" style="1" customWidth="1"/>
    <col min="19" max="19" width="11.42578125" style="1" customWidth="1"/>
    <col min="20" max="20" width="15.28515625" style="1" customWidth="1"/>
    <col min="21" max="21" width="7.5703125" style="1" customWidth="1"/>
    <col min="22" max="22" width="14" style="1" customWidth="1"/>
    <col min="23" max="23" width="31.140625" style="1" customWidth="1"/>
    <col min="24" max="24" width="11.28515625" style="1" customWidth="1"/>
    <col min="25" max="25" width="19.5703125" style="1" bestFit="1" customWidth="1"/>
  </cols>
  <sheetData>
    <row r="1" spans="1:25" s="4" customFormat="1" ht="81.75" customHeight="1" x14ac:dyDescent="0.25">
      <c r="A1" s="17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  <c r="T1" s="16" t="s">
        <v>19</v>
      </c>
      <c r="U1" s="16" t="s">
        <v>20</v>
      </c>
      <c r="V1" s="16" t="s">
        <v>21</v>
      </c>
      <c r="W1" s="16" t="s">
        <v>22</v>
      </c>
    </row>
    <row r="2" spans="1:25" ht="44.25" customHeight="1" x14ac:dyDescent="1.35">
      <c r="A2" s="2" t="s">
        <v>38</v>
      </c>
      <c r="B2" s="5" t="s">
        <v>47</v>
      </c>
      <c r="C2" s="18" t="s">
        <v>23</v>
      </c>
      <c r="D2" s="18" t="s">
        <v>41</v>
      </c>
      <c r="E2" s="2" t="s">
        <v>1413</v>
      </c>
      <c r="F2" s="1">
        <v>57</v>
      </c>
      <c r="G2" s="3">
        <v>46131</v>
      </c>
      <c r="H2" s="3"/>
      <c r="I2" s="3">
        <v>46138</v>
      </c>
      <c r="J2" s="1">
        <v>7</v>
      </c>
      <c r="K2" s="1">
        <v>0</v>
      </c>
      <c r="L2" s="1">
        <v>168</v>
      </c>
      <c r="M2" s="1">
        <v>49</v>
      </c>
      <c r="N2" s="1">
        <v>2</v>
      </c>
      <c r="O2" s="1">
        <v>0</v>
      </c>
      <c r="P2" s="1">
        <v>399</v>
      </c>
      <c r="Q2" s="2" t="s">
        <v>227</v>
      </c>
      <c r="R2" s="6" t="s">
        <v>1414</v>
      </c>
      <c r="S2" s="2" t="s">
        <v>25</v>
      </c>
      <c r="T2" s="3"/>
      <c r="V2" s="3"/>
      <c r="W2" s="2" t="s">
        <v>95</v>
      </c>
      <c r="X2"/>
      <c r="Y2" s="20"/>
    </row>
    <row r="3" spans="1:25" ht="41.25" customHeight="1" x14ac:dyDescent="0.25">
      <c r="A3" s="2" t="s">
        <v>39</v>
      </c>
      <c r="B3" s="5" t="s">
        <v>47</v>
      </c>
      <c r="C3" s="18"/>
      <c r="D3" s="18"/>
      <c r="E3" s="2" t="s">
        <v>219</v>
      </c>
      <c r="G3" s="3">
        <v>46138</v>
      </c>
      <c r="H3" s="3"/>
      <c r="I3" s="3">
        <v>46146</v>
      </c>
      <c r="J3" s="1">
        <v>8</v>
      </c>
      <c r="K3" s="1">
        <v>0</v>
      </c>
      <c r="L3" s="1">
        <v>192</v>
      </c>
      <c r="M3" s="1">
        <v>0</v>
      </c>
      <c r="N3" s="1">
        <v>0</v>
      </c>
      <c r="O3" s="1">
        <v>0</v>
      </c>
      <c r="Q3" s="2" t="s">
        <v>51</v>
      </c>
      <c r="R3" s="6" t="s">
        <v>43</v>
      </c>
      <c r="S3" s="2" t="s">
        <v>25</v>
      </c>
      <c r="T3" s="3"/>
      <c r="V3" s="3"/>
      <c r="W3" s="2" t="s">
        <v>95</v>
      </c>
      <c r="X3"/>
      <c r="Y3"/>
    </row>
    <row r="4" spans="1:25" ht="41.25" customHeight="1" x14ac:dyDescent="0.25">
      <c r="A4" s="2" t="s">
        <v>39</v>
      </c>
      <c r="B4" s="5" t="s">
        <v>47</v>
      </c>
      <c r="C4" s="18"/>
      <c r="D4" s="18"/>
      <c r="E4" s="2" t="s">
        <v>219</v>
      </c>
      <c r="G4" s="3">
        <v>46146</v>
      </c>
      <c r="H4" s="3"/>
      <c r="I4" s="3">
        <v>46154</v>
      </c>
      <c r="J4" s="1">
        <v>8</v>
      </c>
      <c r="K4" s="1">
        <v>0</v>
      </c>
      <c r="L4" s="1">
        <v>192</v>
      </c>
      <c r="M4" s="1">
        <v>0</v>
      </c>
      <c r="N4" s="1">
        <v>0</v>
      </c>
      <c r="O4" s="1">
        <v>0</v>
      </c>
      <c r="Q4" s="2" t="s">
        <v>51</v>
      </c>
      <c r="R4" s="6" t="s">
        <v>43</v>
      </c>
      <c r="S4" s="2" t="s">
        <v>25</v>
      </c>
      <c r="T4" s="3"/>
      <c r="V4" s="3"/>
      <c r="W4" s="2" t="s">
        <v>95</v>
      </c>
      <c r="X4"/>
      <c r="Y4"/>
    </row>
    <row r="5" spans="1:25" ht="41.25" customHeight="1" x14ac:dyDescent="0.25">
      <c r="A5" s="2" t="s">
        <v>38</v>
      </c>
      <c r="B5" s="5" t="s">
        <v>47</v>
      </c>
      <c r="C5" s="18" t="s">
        <v>46</v>
      </c>
      <c r="D5" s="18" t="s">
        <v>33</v>
      </c>
      <c r="E5" s="2" t="s">
        <v>201</v>
      </c>
      <c r="F5" s="1">
        <v>50</v>
      </c>
      <c r="G5" s="3">
        <v>46154</v>
      </c>
      <c r="H5" s="3"/>
      <c r="I5" s="3">
        <v>46162</v>
      </c>
      <c r="J5" s="1">
        <v>8</v>
      </c>
      <c r="K5" s="1">
        <v>0</v>
      </c>
      <c r="L5" s="1">
        <v>192</v>
      </c>
      <c r="M5" s="1">
        <v>298</v>
      </c>
      <c r="N5" s="1">
        <v>10</v>
      </c>
      <c r="O5" s="1">
        <v>218</v>
      </c>
      <c r="P5" s="1">
        <v>400</v>
      </c>
      <c r="Q5" s="2" t="s">
        <v>48</v>
      </c>
      <c r="R5" s="6" t="s">
        <v>1488</v>
      </c>
      <c r="S5" s="2" t="s">
        <v>1312</v>
      </c>
      <c r="T5" s="3">
        <v>46102</v>
      </c>
      <c r="U5" s="1">
        <v>1</v>
      </c>
      <c r="V5" s="3">
        <v>46103</v>
      </c>
      <c r="W5" s="2" t="s">
        <v>28</v>
      </c>
      <c r="X5"/>
      <c r="Y5"/>
    </row>
    <row r="6" spans="1:25" ht="41.25" customHeight="1" x14ac:dyDescent="0.25">
      <c r="A6" s="2" t="s">
        <v>38</v>
      </c>
      <c r="B6" s="5" t="s">
        <v>47</v>
      </c>
      <c r="C6" s="18"/>
      <c r="D6" s="18" t="s">
        <v>1447</v>
      </c>
      <c r="E6" s="2" t="s">
        <v>129</v>
      </c>
      <c r="F6" s="1">
        <v>50</v>
      </c>
      <c r="G6" s="3">
        <v>46162</v>
      </c>
      <c r="H6" s="3"/>
      <c r="I6" s="3">
        <v>46172</v>
      </c>
      <c r="J6" s="1">
        <v>10</v>
      </c>
      <c r="K6" s="1">
        <v>0</v>
      </c>
      <c r="L6" s="1">
        <v>240</v>
      </c>
      <c r="M6" s="1">
        <v>251</v>
      </c>
      <c r="N6" s="1">
        <v>10</v>
      </c>
      <c r="O6" s="1">
        <v>183</v>
      </c>
      <c r="P6" s="1">
        <v>400</v>
      </c>
      <c r="Q6" s="2" t="s">
        <v>48</v>
      </c>
      <c r="R6" s="6" t="s">
        <v>260</v>
      </c>
      <c r="S6" s="2" t="s">
        <v>1335</v>
      </c>
      <c r="T6" s="3">
        <v>46108</v>
      </c>
      <c r="U6" s="1">
        <v>1</v>
      </c>
      <c r="V6" s="3">
        <v>46111</v>
      </c>
      <c r="W6" s="2" t="s">
        <v>28</v>
      </c>
      <c r="X6"/>
      <c r="Y6"/>
    </row>
    <row r="7" spans="1:25" ht="41.25" customHeight="1" x14ac:dyDescent="0.25">
      <c r="A7" s="2" t="s">
        <v>39</v>
      </c>
      <c r="B7" s="5" t="s">
        <v>47</v>
      </c>
      <c r="C7" s="18"/>
      <c r="D7" s="18"/>
      <c r="E7" s="2" t="s">
        <v>1315</v>
      </c>
      <c r="F7" s="1">
        <v>214</v>
      </c>
      <c r="G7" s="3">
        <v>46172</v>
      </c>
      <c r="H7" s="3"/>
      <c r="I7" s="3">
        <v>46182</v>
      </c>
      <c r="J7" s="1">
        <v>10</v>
      </c>
      <c r="K7" s="1">
        <v>0</v>
      </c>
      <c r="L7" s="1">
        <v>240</v>
      </c>
      <c r="M7" s="1">
        <v>100</v>
      </c>
      <c r="N7" s="1">
        <v>0</v>
      </c>
      <c r="O7" s="1">
        <v>0</v>
      </c>
      <c r="P7" s="1">
        <v>199</v>
      </c>
      <c r="Q7" s="2" t="s">
        <v>89</v>
      </c>
      <c r="R7" s="6" t="s">
        <v>1140</v>
      </c>
      <c r="S7" s="2" t="s">
        <v>25</v>
      </c>
      <c r="T7" s="3">
        <v>46247</v>
      </c>
      <c r="U7" s="1">
        <v>1</v>
      </c>
      <c r="V7" s="3">
        <v>46251</v>
      </c>
      <c r="W7" s="2" t="s">
        <v>95</v>
      </c>
      <c r="X7"/>
      <c r="Y7"/>
    </row>
    <row r="8" spans="1:25" ht="41.25" customHeight="1" x14ac:dyDescent="0.25">
      <c r="A8" s="2" t="s">
        <v>39</v>
      </c>
      <c r="B8" s="5" t="s">
        <v>47</v>
      </c>
      <c r="C8" s="18"/>
      <c r="D8" s="18"/>
      <c r="E8" s="2" t="s">
        <v>254</v>
      </c>
      <c r="F8" s="1">
        <v>219</v>
      </c>
      <c r="G8" s="3">
        <v>46182</v>
      </c>
      <c r="H8" s="3"/>
      <c r="I8" s="3">
        <v>46192</v>
      </c>
      <c r="J8" s="1">
        <v>10</v>
      </c>
      <c r="K8" s="1">
        <v>0</v>
      </c>
      <c r="L8" s="1">
        <v>240</v>
      </c>
      <c r="M8" s="1">
        <v>0</v>
      </c>
      <c r="N8" s="1">
        <v>0</v>
      </c>
      <c r="O8" s="1">
        <v>0</v>
      </c>
      <c r="P8" s="1">
        <v>0</v>
      </c>
      <c r="Q8" s="2" t="s">
        <v>192</v>
      </c>
      <c r="R8" s="6" t="s">
        <v>251</v>
      </c>
      <c r="S8" s="2" t="s">
        <v>25</v>
      </c>
      <c r="T8" s="3"/>
      <c r="V8" s="3"/>
      <c r="W8" s="2" t="s">
        <v>1256</v>
      </c>
      <c r="X8"/>
      <c r="Y8"/>
    </row>
    <row r="9" spans="1:25" ht="41.25" customHeight="1" x14ac:dyDescent="0.25">
      <c r="A9" s="2" t="s">
        <v>39</v>
      </c>
      <c r="B9" s="5" t="s">
        <v>47</v>
      </c>
      <c r="C9" s="18"/>
      <c r="D9" s="18"/>
      <c r="E9" s="2" t="s">
        <v>255</v>
      </c>
      <c r="F9" s="1">
        <v>222</v>
      </c>
      <c r="G9" s="3">
        <v>46192</v>
      </c>
      <c r="H9" s="3"/>
      <c r="I9" s="3">
        <v>46200</v>
      </c>
      <c r="J9" s="1">
        <v>8</v>
      </c>
      <c r="K9" s="1">
        <v>0</v>
      </c>
      <c r="L9" s="1">
        <v>192</v>
      </c>
      <c r="M9" s="1">
        <v>100000</v>
      </c>
      <c r="N9" s="1">
        <v>0</v>
      </c>
      <c r="O9" s="1">
        <v>39</v>
      </c>
      <c r="P9" s="1">
        <v>0</v>
      </c>
      <c r="Q9" s="2" t="s">
        <v>192</v>
      </c>
      <c r="R9" s="6" t="s">
        <v>251</v>
      </c>
      <c r="S9" s="2" t="s">
        <v>25</v>
      </c>
      <c r="T9" s="3"/>
      <c r="V9" s="3"/>
      <c r="W9" s="2" t="s">
        <v>1257</v>
      </c>
      <c r="X9"/>
      <c r="Y9"/>
    </row>
    <row r="10" spans="1:25" ht="41.25" customHeight="1" x14ac:dyDescent="0.25">
      <c r="A10" s="2" t="s">
        <v>39</v>
      </c>
      <c r="B10" s="5" t="s">
        <v>47</v>
      </c>
      <c r="C10" s="18"/>
      <c r="D10" s="18"/>
      <c r="E10" s="2" t="s">
        <v>1371</v>
      </c>
      <c r="F10" s="1">
        <v>216</v>
      </c>
      <c r="G10" s="3">
        <v>46200</v>
      </c>
      <c r="H10" s="3"/>
      <c r="I10" s="3">
        <v>46208</v>
      </c>
      <c r="J10" s="1">
        <v>8</v>
      </c>
      <c r="K10" s="1">
        <v>0</v>
      </c>
      <c r="L10" s="1">
        <v>192</v>
      </c>
      <c r="M10" s="1">
        <v>0</v>
      </c>
      <c r="N10" s="1">
        <v>0</v>
      </c>
      <c r="O10" s="1">
        <v>0</v>
      </c>
      <c r="P10" s="1">
        <v>0</v>
      </c>
      <c r="Q10" s="2" t="s">
        <v>192</v>
      </c>
      <c r="R10" s="6" t="s">
        <v>1372</v>
      </c>
      <c r="S10" s="2" t="s">
        <v>25</v>
      </c>
      <c r="T10" s="3"/>
      <c r="V10" s="3"/>
      <c r="W10" s="2" t="s">
        <v>1258</v>
      </c>
      <c r="X10"/>
      <c r="Y10"/>
    </row>
    <row r="11" spans="1:25" ht="41.25" customHeight="1" x14ac:dyDescent="0.25">
      <c r="A11" s="2" t="s">
        <v>39</v>
      </c>
      <c r="B11" s="5" t="s">
        <v>47</v>
      </c>
      <c r="C11" s="18"/>
      <c r="D11" s="18"/>
      <c r="E11" s="2" t="s">
        <v>1373</v>
      </c>
      <c r="F11" s="1">
        <v>233</v>
      </c>
      <c r="G11" s="3">
        <v>46208</v>
      </c>
      <c r="H11" s="3"/>
      <c r="I11" s="3">
        <v>46222</v>
      </c>
      <c r="J11" s="1">
        <v>14</v>
      </c>
      <c r="K11" s="1">
        <v>0</v>
      </c>
      <c r="L11" s="1">
        <v>336</v>
      </c>
      <c r="M11" s="1">
        <v>0</v>
      </c>
      <c r="N11" s="1">
        <v>0</v>
      </c>
      <c r="O11" s="1">
        <v>0</v>
      </c>
      <c r="P11" s="1">
        <v>0</v>
      </c>
      <c r="Q11" s="2" t="s">
        <v>192</v>
      </c>
      <c r="R11" s="6" t="s">
        <v>1372</v>
      </c>
      <c r="S11" s="2" t="s">
        <v>25</v>
      </c>
      <c r="T11" s="3"/>
      <c r="V11" s="3"/>
      <c r="W11" s="2" t="s">
        <v>1258</v>
      </c>
      <c r="X11"/>
      <c r="Y11"/>
    </row>
    <row r="12" spans="1:25" ht="41.25" customHeight="1" x14ac:dyDescent="0.25">
      <c r="A12" s="2" t="s">
        <v>39</v>
      </c>
      <c r="B12" s="5" t="s">
        <v>47</v>
      </c>
      <c r="C12" s="18"/>
      <c r="D12" s="18"/>
      <c r="E12" s="2" t="s">
        <v>221</v>
      </c>
      <c r="G12" s="3">
        <v>46222</v>
      </c>
      <c r="H12" s="3"/>
      <c r="I12" s="3">
        <v>46230</v>
      </c>
      <c r="J12" s="1">
        <v>8</v>
      </c>
      <c r="K12" s="1">
        <v>0</v>
      </c>
      <c r="L12" s="1">
        <v>192</v>
      </c>
      <c r="M12" s="1">
        <v>0</v>
      </c>
      <c r="N12" s="1">
        <v>0</v>
      </c>
      <c r="O12" s="1">
        <v>0</v>
      </c>
      <c r="Q12" s="2" t="s">
        <v>51</v>
      </c>
      <c r="R12" s="6" t="s">
        <v>43</v>
      </c>
      <c r="S12" s="2" t="s">
        <v>25</v>
      </c>
      <c r="T12" s="3"/>
      <c r="V12" s="3"/>
      <c r="W12" s="2" t="s">
        <v>95</v>
      </c>
      <c r="X12"/>
      <c r="Y12"/>
    </row>
    <row r="13" spans="1:25" ht="41.25" customHeight="1" x14ac:dyDescent="0.25">
      <c r="A13" s="2" t="s">
        <v>38</v>
      </c>
      <c r="B13" s="5" t="s">
        <v>52</v>
      </c>
      <c r="C13" s="18" t="s">
        <v>23</v>
      </c>
      <c r="D13" s="18" t="s">
        <v>41</v>
      </c>
      <c r="E13" s="2" t="s">
        <v>1220</v>
      </c>
      <c r="F13" s="1">
        <v>84</v>
      </c>
      <c r="G13" s="3">
        <v>46106</v>
      </c>
      <c r="H13" s="3"/>
      <c r="I13" s="3">
        <v>46172</v>
      </c>
      <c r="J13" s="1">
        <v>66</v>
      </c>
      <c r="K13" s="1">
        <v>0</v>
      </c>
      <c r="L13" s="1">
        <v>1584</v>
      </c>
      <c r="M13" s="1">
        <v>59</v>
      </c>
      <c r="N13" s="1">
        <v>22</v>
      </c>
      <c r="O13" s="1">
        <v>37</v>
      </c>
      <c r="P13" s="1">
        <v>70</v>
      </c>
      <c r="Q13" s="2" t="s">
        <v>92</v>
      </c>
      <c r="R13" s="6" t="s">
        <v>1221</v>
      </c>
      <c r="S13" s="2" t="s">
        <v>1316</v>
      </c>
      <c r="T13" s="3"/>
      <c r="V13" s="3"/>
      <c r="W13" s="2" t="s">
        <v>27</v>
      </c>
      <c r="X13"/>
      <c r="Y13"/>
    </row>
    <row r="14" spans="1:25" ht="41.25" customHeight="1" x14ac:dyDescent="0.25">
      <c r="A14" s="2" t="s">
        <v>38</v>
      </c>
      <c r="B14" s="5" t="s">
        <v>52</v>
      </c>
      <c r="C14" s="18"/>
      <c r="D14" s="18" t="s">
        <v>30</v>
      </c>
      <c r="E14" s="2" t="s">
        <v>1399</v>
      </c>
      <c r="F14" s="1">
        <v>9</v>
      </c>
      <c r="G14" s="3">
        <v>46172</v>
      </c>
      <c r="H14" s="3"/>
      <c r="I14" s="3">
        <v>46202</v>
      </c>
      <c r="J14" s="1">
        <v>30</v>
      </c>
      <c r="K14" s="1">
        <v>0</v>
      </c>
      <c r="L14" s="1">
        <v>720</v>
      </c>
      <c r="M14" s="1">
        <v>86</v>
      </c>
      <c r="N14" s="1">
        <v>54</v>
      </c>
      <c r="O14" s="1">
        <v>32</v>
      </c>
      <c r="P14" s="1">
        <v>155</v>
      </c>
      <c r="Q14" s="2" t="s">
        <v>92</v>
      </c>
      <c r="R14" s="6" t="s">
        <v>1400</v>
      </c>
      <c r="S14" s="2" t="s">
        <v>25</v>
      </c>
      <c r="T14" s="3"/>
      <c r="V14" s="3"/>
      <c r="W14" s="2" t="s">
        <v>27</v>
      </c>
      <c r="X14"/>
      <c r="Y14"/>
    </row>
    <row r="15" spans="1:25" ht="41.25" customHeight="1" x14ac:dyDescent="0.25">
      <c r="A15" s="2" t="s">
        <v>38</v>
      </c>
      <c r="B15" s="5" t="s">
        <v>55</v>
      </c>
      <c r="C15" s="18" t="s">
        <v>23</v>
      </c>
      <c r="D15" s="18" t="s">
        <v>41</v>
      </c>
      <c r="E15" s="2" t="s">
        <v>134</v>
      </c>
      <c r="F15" s="1">
        <v>94</v>
      </c>
      <c r="G15" s="3">
        <v>46133</v>
      </c>
      <c r="H15" s="3"/>
      <c r="I15" s="3">
        <v>46136</v>
      </c>
      <c r="J15" s="1">
        <v>3</v>
      </c>
      <c r="K15" s="1">
        <v>0</v>
      </c>
      <c r="L15" s="1">
        <v>72</v>
      </c>
      <c r="M15" s="1">
        <v>0</v>
      </c>
      <c r="N15" s="1">
        <v>0</v>
      </c>
      <c r="O15" s="1">
        <v>0</v>
      </c>
      <c r="Q15" s="2" t="s">
        <v>154</v>
      </c>
      <c r="R15" s="6" t="s">
        <v>1415</v>
      </c>
      <c r="S15" s="2" t="s">
        <v>25</v>
      </c>
      <c r="T15" s="3"/>
      <c r="V15" s="3"/>
      <c r="W15" s="2" t="s">
        <v>95</v>
      </c>
      <c r="X15"/>
      <c r="Y15"/>
    </row>
    <row r="16" spans="1:25" ht="41.25" customHeight="1" x14ac:dyDescent="0.25">
      <c r="A16" s="2" t="s">
        <v>38</v>
      </c>
      <c r="B16" s="5" t="s">
        <v>55</v>
      </c>
      <c r="C16" s="18" t="s">
        <v>23</v>
      </c>
      <c r="D16" s="18"/>
      <c r="E16" s="2" t="s">
        <v>191</v>
      </c>
      <c r="F16" s="1">
        <v>94</v>
      </c>
      <c r="G16" s="3">
        <v>46136</v>
      </c>
      <c r="H16" s="3"/>
      <c r="I16" s="3">
        <v>46137</v>
      </c>
      <c r="J16" s="1">
        <v>1</v>
      </c>
      <c r="K16" s="1">
        <v>0</v>
      </c>
      <c r="L16" s="1">
        <v>24</v>
      </c>
      <c r="M16" s="1">
        <v>320</v>
      </c>
      <c r="N16" s="1">
        <v>0</v>
      </c>
      <c r="O16" s="1">
        <v>0</v>
      </c>
      <c r="Q16" s="2" t="s">
        <v>53</v>
      </c>
      <c r="R16" s="6" t="s">
        <v>1489</v>
      </c>
      <c r="S16" s="2" t="s">
        <v>25</v>
      </c>
      <c r="T16" s="3"/>
      <c r="V16" s="3"/>
      <c r="W16" s="2" t="s">
        <v>95</v>
      </c>
      <c r="X16"/>
      <c r="Y16"/>
    </row>
    <row r="17" spans="1:25" ht="41.25" customHeight="1" x14ac:dyDescent="0.25">
      <c r="A17" s="2" t="s">
        <v>38</v>
      </c>
      <c r="B17" s="5" t="s">
        <v>55</v>
      </c>
      <c r="C17" s="18"/>
      <c r="D17" s="18"/>
      <c r="E17" s="2" t="s">
        <v>219</v>
      </c>
      <c r="G17" s="3">
        <v>46137</v>
      </c>
      <c r="H17" s="3"/>
      <c r="I17" s="3">
        <v>46145</v>
      </c>
      <c r="J17" s="1">
        <v>8</v>
      </c>
      <c r="K17" s="1">
        <v>0</v>
      </c>
      <c r="L17" s="1">
        <v>192</v>
      </c>
      <c r="M17" s="1">
        <v>0</v>
      </c>
      <c r="N17" s="1">
        <v>0</v>
      </c>
      <c r="O17" s="1">
        <v>0</v>
      </c>
      <c r="Q17" s="2" t="s">
        <v>51</v>
      </c>
      <c r="R17" s="6" t="s">
        <v>43</v>
      </c>
      <c r="S17" s="2" t="s">
        <v>25</v>
      </c>
      <c r="T17" s="3"/>
      <c r="V17" s="3"/>
      <c r="W17" s="2" t="s">
        <v>95</v>
      </c>
      <c r="X17"/>
      <c r="Y17"/>
    </row>
    <row r="18" spans="1:25" ht="41.25" customHeight="1" x14ac:dyDescent="0.25">
      <c r="A18" s="2" t="s">
        <v>38</v>
      </c>
      <c r="B18" s="5" t="s">
        <v>55</v>
      </c>
      <c r="C18" s="18" t="s">
        <v>32</v>
      </c>
      <c r="D18" s="18" t="s">
        <v>30</v>
      </c>
      <c r="E18" s="2" t="s">
        <v>191</v>
      </c>
      <c r="F18" s="1">
        <v>94</v>
      </c>
      <c r="G18" s="3">
        <v>46145</v>
      </c>
      <c r="H18" s="3"/>
      <c r="I18" s="3">
        <v>46146</v>
      </c>
      <c r="J18" s="1">
        <v>1</v>
      </c>
      <c r="K18" s="1">
        <v>0</v>
      </c>
      <c r="L18" s="1">
        <v>24</v>
      </c>
      <c r="M18" s="1">
        <v>320</v>
      </c>
      <c r="N18" s="1">
        <v>0</v>
      </c>
      <c r="O18" s="1">
        <v>0</v>
      </c>
      <c r="Q18" s="2" t="s">
        <v>53</v>
      </c>
      <c r="R18" s="6" t="s">
        <v>1490</v>
      </c>
      <c r="S18" s="2" t="s">
        <v>25</v>
      </c>
      <c r="T18" s="3"/>
      <c r="V18" s="3"/>
      <c r="W18" s="2" t="s">
        <v>95</v>
      </c>
      <c r="X18"/>
      <c r="Y18"/>
    </row>
    <row r="19" spans="1:25" ht="41.25" customHeight="1" x14ac:dyDescent="0.25">
      <c r="A19" s="2" t="s">
        <v>38</v>
      </c>
      <c r="B19" s="5" t="s">
        <v>110</v>
      </c>
      <c r="C19" s="18" t="s">
        <v>23</v>
      </c>
      <c r="D19" s="18" t="s">
        <v>41</v>
      </c>
      <c r="E19" s="2" t="s">
        <v>1186</v>
      </c>
      <c r="F19" s="1">
        <v>34</v>
      </c>
      <c r="G19" s="3">
        <v>46097</v>
      </c>
      <c r="H19" s="3"/>
      <c r="I19" s="3">
        <v>46143</v>
      </c>
      <c r="J19" s="1">
        <v>46</v>
      </c>
      <c r="K19" s="1">
        <v>0</v>
      </c>
      <c r="L19" s="1">
        <v>1104</v>
      </c>
      <c r="M19" s="1">
        <v>1167</v>
      </c>
      <c r="N19" s="1">
        <v>88</v>
      </c>
      <c r="O19" s="1">
        <v>113</v>
      </c>
      <c r="P19" s="1">
        <v>219</v>
      </c>
      <c r="Q19" s="2" t="s">
        <v>92</v>
      </c>
      <c r="R19" s="6" t="s">
        <v>1278</v>
      </c>
      <c r="S19" s="2" t="s">
        <v>25</v>
      </c>
      <c r="T19" s="3"/>
      <c r="V19" s="3"/>
      <c r="W19" s="2" t="s">
        <v>25</v>
      </c>
      <c r="X19"/>
      <c r="Y19"/>
    </row>
    <row r="20" spans="1:25" ht="41.25" customHeight="1" x14ac:dyDescent="0.25">
      <c r="A20" s="2" t="s">
        <v>38</v>
      </c>
      <c r="B20" s="5" t="s">
        <v>110</v>
      </c>
      <c r="C20" s="18"/>
      <c r="D20" s="18" t="s">
        <v>1136</v>
      </c>
      <c r="E20" s="2" t="s">
        <v>1137</v>
      </c>
      <c r="F20" s="1">
        <v>34</v>
      </c>
      <c r="G20" s="3">
        <v>46143</v>
      </c>
      <c r="H20" s="3"/>
      <c r="I20" s="3">
        <v>46151</v>
      </c>
      <c r="J20" s="1">
        <v>8</v>
      </c>
      <c r="K20" s="1">
        <v>0</v>
      </c>
      <c r="L20" s="1">
        <v>192</v>
      </c>
      <c r="M20" s="1">
        <v>100</v>
      </c>
      <c r="N20" s="1">
        <v>60</v>
      </c>
      <c r="O20" s="1">
        <v>32</v>
      </c>
      <c r="P20" s="1">
        <v>350</v>
      </c>
      <c r="Q20" s="2" t="s">
        <v>51</v>
      </c>
      <c r="R20" s="6" t="s">
        <v>26</v>
      </c>
      <c r="S20" s="2" t="s">
        <v>25</v>
      </c>
      <c r="T20" s="3"/>
      <c r="V20" s="3"/>
      <c r="W20" s="2" t="s">
        <v>231</v>
      </c>
      <c r="X20"/>
      <c r="Y20"/>
    </row>
    <row r="21" spans="1:25" ht="41.25" customHeight="1" x14ac:dyDescent="0.25">
      <c r="A21" s="2" t="s">
        <v>38</v>
      </c>
      <c r="B21" s="5" t="s">
        <v>110</v>
      </c>
      <c r="C21" s="18"/>
      <c r="D21" s="18" t="s">
        <v>274</v>
      </c>
      <c r="E21" s="2" t="s">
        <v>1138</v>
      </c>
      <c r="F21" s="1">
        <v>34</v>
      </c>
      <c r="G21" s="3">
        <v>46151</v>
      </c>
      <c r="H21" s="3"/>
      <c r="I21" s="3">
        <v>46159</v>
      </c>
      <c r="J21" s="1">
        <v>8</v>
      </c>
      <c r="K21" s="1">
        <v>0</v>
      </c>
      <c r="L21" s="1">
        <v>192</v>
      </c>
      <c r="M21" s="1">
        <v>74</v>
      </c>
      <c r="N21" s="1">
        <v>72</v>
      </c>
      <c r="O21" s="1">
        <v>17</v>
      </c>
      <c r="P21" s="1">
        <v>282</v>
      </c>
      <c r="Q21" s="2" t="s">
        <v>51</v>
      </c>
      <c r="R21" s="6" t="s">
        <v>43</v>
      </c>
      <c r="S21" s="2" t="s">
        <v>25</v>
      </c>
      <c r="T21" s="3"/>
      <c r="V21" s="3"/>
      <c r="W21" s="2" t="s">
        <v>29</v>
      </c>
      <c r="X21"/>
      <c r="Y21"/>
    </row>
    <row r="22" spans="1:25" ht="41.25" customHeight="1" x14ac:dyDescent="0.25">
      <c r="A22" s="2" t="s">
        <v>38</v>
      </c>
      <c r="B22" s="5" t="s">
        <v>110</v>
      </c>
      <c r="C22" s="18"/>
      <c r="D22" s="18"/>
      <c r="E22" s="2" t="s">
        <v>219</v>
      </c>
      <c r="G22" s="3">
        <v>46159</v>
      </c>
      <c r="H22" s="3"/>
      <c r="I22" s="3">
        <v>46167</v>
      </c>
      <c r="J22" s="1">
        <v>8</v>
      </c>
      <c r="K22" s="1">
        <v>0</v>
      </c>
      <c r="L22" s="1">
        <v>192</v>
      </c>
      <c r="M22" s="1">
        <v>0</v>
      </c>
      <c r="N22" s="1">
        <v>0</v>
      </c>
      <c r="O22" s="1">
        <v>0</v>
      </c>
      <c r="Q22" s="2" t="s">
        <v>51</v>
      </c>
      <c r="R22" s="6" t="s">
        <v>43</v>
      </c>
      <c r="S22" s="2" t="s">
        <v>25</v>
      </c>
      <c r="T22" s="3"/>
      <c r="V22" s="3"/>
      <c r="W22" s="2" t="s">
        <v>95</v>
      </c>
      <c r="X22"/>
      <c r="Y22"/>
    </row>
    <row r="23" spans="1:25" ht="41.25" customHeight="1" x14ac:dyDescent="0.25">
      <c r="A23" s="2" t="s">
        <v>38</v>
      </c>
      <c r="B23" s="5" t="s">
        <v>110</v>
      </c>
      <c r="C23" s="18"/>
      <c r="D23" s="18"/>
      <c r="E23" s="2" t="s">
        <v>219</v>
      </c>
      <c r="G23" s="3">
        <v>46167</v>
      </c>
      <c r="H23" s="3"/>
      <c r="I23" s="3">
        <v>46175</v>
      </c>
      <c r="J23" s="1">
        <v>8</v>
      </c>
      <c r="K23" s="1">
        <v>0</v>
      </c>
      <c r="L23" s="1">
        <v>192</v>
      </c>
      <c r="M23" s="1">
        <v>0</v>
      </c>
      <c r="N23" s="1">
        <v>0</v>
      </c>
      <c r="O23" s="1">
        <v>0</v>
      </c>
      <c r="Q23" s="2" t="s">
        <v>51</v>
      </c>
      <c r="R23" s="6" t="s">
        <v>43</v>
      </c>
      <c r="S23" s="2" t="s">
        <v>25</v>
      </c>
      <c r="T23" s="3"/>
      <c r="V23" s="3"/>
      <c r="W23" s="2" t="s">
        <v>95</v>
      </c>
      <c r="X23"/>
      <c r="Y23"/>
    </row>
    <row r="24" spans="1:25" ht="41.25" customHeight="1" x14ac:dyDescent="0.25">
      <c r="A24" s="2" t="s">
        <v>38</v>
      </c>
      <c r="B24" s="5" t="s">
        <v>110</v>
      </c>
      <c r="C24" s="18"/>
      <c r="D24" s="18"/>
      <c r="E24" s="2" t="s">
        <v>147</v>
      </c>
      <c r="F24" s="1">
        <v>84</v>
      </c>
      <c r="G24" s="3">
        <v>46175</v>
      </c>
      <c r="H24" s="3"/>
      <c r="I24" s="3">
        <v>46185</v>
      </c>
      <c r="J24" s="1">
        <v>10</v>
      </c>
      <c r="K24" s="1">
        <v>0</v>
      </c>
      <c r="L24" s="1">
        <v>240</v>
      </c>
      <c r="M24" s="1">
        <v>600</v>
      </c>
      <c r="N24" s="1">
        <v>0</v>
      </c>
      <c r="O24" s="1">
        <v>0</v>
      </c>
      <c r="P24" s="1">
        <v>0</v>
      </c>
      <c r="Q24" s="2" t="s">
        <v>54</v>
      </c>
      <c r="R24" s="6" t="s">
        <v>148</v>
      </c>
      <c r="S24" s="2" t="s">
        <v>1319</v>
      </c>
      <c r="T24" s="3"/>
      <c r="V24" s="3"/>
      <c r="W24" s="2" t="s">
        <v>28</v>
      </c>
      <c r="X24"/>
      <c r="Y24"/>
    </row>
    <row r="25" spans="1:25" ht="41.25" customHeight="1" x14ac:dyDescent="0.25">
      <c r="A25" s="2" t="s">
        <v>38</v>
      </c>
      <c r="B25" s="5" t="s">
        <v>110</v>
      </c>
      <c r="C25" s="18"/>
      <c r="D25" s="18"/>
      <c r="E25" s="2" t="s">
        <v>190</v>
      </c>
      <c r="F25" s="1">
        <v>84</v>
      </c>
      <c r="G25" s="3">
        <v>46185</v>
      </c>
      <c r="H25" s="3"/>
      <c r="I25" s="3">
        <v>46195</v>
      </c>
      <c r="J25" s="1">
        <v>10</v>
      </c>
      <c r="K25" s="1">
        <v>0</v>
      </c>
      <c r="L25" s="1">
        <v>240</v>
      </c>
      <c r="M25" s="1">
        <v>500</v>
      </c>
      <c r="N25" s="1">
        <v>0</v>
      </c>
      <c r="O25" s="1">
        <v>0</v>
      </c>
      <c r="P25" s="1">
        <v>683</v>
      </c>
      <c r="Q25" s="2" t="s">
        <v>54</v>
      </c>
      <c r="R25" s="6" t="s">
        <v>328</v>
      </c>
      <c r="S25" s="2" t="s">
        <v>1320</v>
      </c>
      <c r="T25" s="3"/>
      <c r="V25" s="3"/>
      <c r="W25" s="2" t="s">
        <v>25</v>
      </c>
      <c r="X25"/>
      <c r="Y25"/>
    </row>
    <row r="26" spans="1:25" ht="41.25" customHeight="1" x14ac:dyDescent="0.25">
      <c r="A26" s="2" t="s">
        <v>38</v>
      </c>
      <c r="B26" s="5" t="s">
        <v>110</v>
      </c>
      <c r="C26" s="18"/>
      <c r="D26" s="18"/>
      <c r="E26" s="2" t="s">
        <v>121</v>
      </c>
      <c r="F26" s="1">
        <v>84</v>
      </c>
      <c r="G26" s="3">
        <v>46195</v>
      </c>
      <c r="H26" s="3"/>
      <c r="I26" s="3">
        <v>46203</v>
      </c>
      <c r="J26" s="1">
        <v>8</v>
      </c>
      <c r="K26" s="1">
        <v>0</v>
      </c>
      <c r="L26" s="1">
        <v>192</v>
      </c>
      <c r="M26" s="1">
        <v>243</v>
      </c>
      <c r="N26" s="1">
        <v>60</v>
      </c>
      <c r="O26" s="1">
        <v>79</v>
      </c>
      <c r="P26" s="1">
        <v>330</v>
      </c>
      <c r="Q26" s="2" t="s">
        <v>57</v>
      </c>
      <c r="R26" s="6" t="s">
        <v>1491</v>
      </c>
      <c r="S26" s="2" t="s">
        <v>1492</v>
      </c>
      <c r="T26" s="3"/>
      <c r="V26" s="3"/>
      <c r="W26" s="2" t="s">
        <v>25</v>
      </c>
      <c r="X26"/>
      <c r="Y26"/>
    </row>
    <row r="27" spans="1:25" ht="41.25" customHeight="1" x14ac:dyDescent="0.25">
      <c r="A27" s="2" t="s">
        <v>38</v>
      </c>
      <c r="B27" s="5" t="s">
        <v>59</v>
      </c>
      <c r="C27" s="18" t="s">
        <v>23</v>
      </c>
      <c r="D27" s="18" t="s">
        <v>41</v>
      </c>
      <c r="E27" s="2" t="s">
        <v>1308</v>
      </c>
      <c r="F27" s="1">
        <v>7</v>
      </c>
      <c r="G27" s="3">
        <v>46131</v>
      </c>
      <c r="H27" s="3"/>
      <c r="I27" s="3">
        <v>46135</v>
      </c>
      <c r="J27" s="1">
        <v>4</v>
      </c>
      <c r="K27" s="1">
        <v>0</v>
      </c>
      <c r="L27" s="1">
        <v>96</v>
      </c>
      <c r="M27" s="1">
        <v>77</v>
      </c>
      <c r="N27" s="1">
        <v>90</v>
      </c>
      <c r="O27" s="1">
        <v>6</v>
      </c>
      <c r="P27" s="1">
        <v>374</v>
      </c>
      <c r="Q27" s="2" t="s">
        <v>51</v>
      </c>
      <c r="R27" s="6" t="s">
        <v>1309</v>
      </c>
      <c r="S27" s="2" t="s">
        <v>25</v>
      </c>
      <c r="T27" s="3"/>
      <c r="V27" s="3"/>
      <c r="W27" s="2" t="s">
        <v>95</v>
      </c>
      <c r="X27"/>
      <c r="Y27"/>
    </row>
    <row r="28" spans="1:25" ht="41.25" customHeight="1" x14ac:dyDescent="0.25">
      <c r="A28" s="2" t="s">
        <v>38</v>
      </c>
      <c r="B28" s="5" t="s">
        <v>59</v>
      </c>
      <c r="C28" s="18" t="s">
        <v>23</v>
      </c>
      <c r="D28" s="18"/>
      <c r="E28" s="2" t="s">
        <v>283</v>
      </c>
      <c r="F28" s="1">
        <v>7</v>
      </c>
      <c r="G28" s="3">
        <v>46135</v>
      </c>
      <c r="H28" s="3"/>
      <c r="I28" s="3">
        <v>46149</v>
      </c>
      <c r="J28" s="1">
        <v>14</v>
      </c>
      <c r="K28" s="1">
        <v>0</v>
      </c>
      <c r="L28" s="1">
        <v>336</v>
      </c>
      <c r="M28" s="1">
        <v>106</v>
      </c>
      <c r="N28" s="1">
        <v>66</v>
      </c>
      <c r="O28" s="1">
        <v>30</v>
      </c>
      <c r="P28" s="1">
        <v>239</v>
      </c>
      <c r="Q28" s="2" t="s">
        <v>109</v>
      </c>
      <c r="R28" s="6" t="s">
        <v>1162</v>
      </c>
      <c r="S28" s="2" t="s">
        <v>25</v>
      </c>
      <c r="T28" s="3"/>
      <c r="V28" s="3"/>
      <c r="W28" s="2" t="s">
        <v>27</v>
      </c>
      <c r="X28"/>
      <c r="Y28"/>
    </row>
    <row r="29" spans="1:25" ht="41.25" customHeight="1" x14ac:dyDescent="0.25">
      <c r="A29" s="2" t="s">
        <v>38</v>
      </c>
      <c r="B29" s="5" t="s">
        <v>59</v>
      </c>
      <c r="C29" s="18"/>
      <c r="D29" s="18"/>
      <c r="E29" s="2" t="s">
        <v>1085</v>
      </c>
      <c r="F29" s="1">
        <v>9</v>
      </c>
      <c r="G29" s="3">
        <v>46149</v>
      </c>
      <c r="H29" s="3"/>
      <c r="I29" s="3">
        <v>46174</v>
      </c>
      <c r="J29" s="1">
        <v>25</v>
      </c>
      <c r="K29" s="1">
        <v>0</v>
      </c>
      <c r="L29" s="1">
        <v>600</v>
      </c>
      <c r="M29" s="1">
        <v>20</v>
      </c>
      <c r="N29" s="1">
        <v>1</v>
      </c>
      <c r="O29" s="1">
        <v>16</v>
      </c>
      <c r="P29" s="1">
        <v>390</v>
      </c>
      <c r="Q29" s="2" t="s">
        <v>109</v>
      </c>
      <c r="R29" s="6" t="s">
        <v>1418</v>
      </c>
      <c r="S29" s="2" t="s">
        <v>25</v>
      </c>
      <c r="T29" s="3"/>
      <c r="V29" s="3"/>
      <c r="W29" s="2" t="s">
        <v>29</v>
      </c>
      <c r="X29"/>
      <c r="Y29"/>
    </row>
    <row r="30" spans="1:25" ht="41.25" customHeight="1" x14ac:dyDescent="0.25">
      <c r="A30" s="2" t="s">
        <v>39</v>
      </c>
      <c r="B30" s="5" t="s">
        <v>59</v>
      </c>
      <c r="C30" s="18"/>
      <c r="D30" s="18"/>
      <c r="E30" s="2" t="s">
        <v>219</v>
      </c>
      <c r="G30" s="3">
        <v>46174</v>
      </c>
      <c r="H30" s="3"/>
      <c r="I30" s="3">
        <v>46182</v>
      </c>
      <c r="J30" s="1">
        <v>8</v>
      </c>
      <c r="K30" s="1">
        <v>0</v>
      </c>
      <c r="L30" s="1">
        <v>192</v>
      </c>
      <c r="M30" s="1">
        <v>0</v>
      </c>
      <c r="N30" s="1">
        <v>0</v>
      </c>
      <c r="O30" s="1">
        <v>0</v>
      </c>
      <c r="Q30" s="2" t="s">
        <v>51</v>
      </c>
      <c r="R30" s="6" t="s">
        <v>108</v>
      </c>
      <c r="S30" s="2" t="s">
        <v>25</v>
      </c>
      <c r="T30" s="3"/>
      <c r="V30" s="3"/>
      <c r="W30" s="2" t="s">
        <v>95</v>
      </c>
      <c r="X30"/>
      <c r="Y30"/>
    </row>
    <row r="31" spans="1:25" ht="41.25" customHeight="1" x14ac:dyDescent="0.25">
      <c r="A31" s="2" t="s">
        <v>38</v>
      </c>
      <c r="B31" s="5" t="s">
        <v>59</v>
      </c>
      <c r="C31" s="18"/>
      <c r="D31" s="18" t="s">
        <v>278</v>
      </c>
      <c r="E31" s="2" t="s">
        <v>187</v>
      </c>
      <c r="F31" s="1">
        <v>46</v>
      </c>
      <c r="G31" s="3">
        <v>46182</v>
      </c>
      <c r="H31" s="3"/>
      <c r="I31" s="3">
        <v>46196</v>
      </c>
      <c r="J31" s="1">
        <v>14</v>
      </c>
      <c r="K31" s="1">
        <v>0</v>
      </c>
      <c r="L31" s="1">
        <v>336</v>
      </c>
      <c r="M31" s="1">
        <v>300</v>
      </c>
      <c r="N31" s="1">
        <v>0</v>
      </c>
      <c r="O31" s="1">
        <v>0</v>
      </c>
      <c r="P31" s="1">
        <v>0</v>
      </c>
      <c r="Q31" s="2" t="s">
        <v>89</v>
      </c>
      <c r="R31" s="6" t="s">
        <v>1161</v>
      </c>
      <c r="S31" s="2" t="s">
        <v>1311</v>
      </c>
      <c r="T31" s="3">
        <v>46194</v>
      </c>
      <c r="U31" s="1">
        <v>1</v>
      </c>
      <c r="V31" s="3">
        <v>46196</v>
      </c>
      <c r="W31" s="2" t="s">
        <v>28</v>
      </c>
      <c r="X31"/>
      <c r="Y31"/>
    </row>
    <row r="32" spans="1:25" ht="41.25" customHeight="1" x14ac:dyDescent="0.25">
      <c r="A32" s="2" t="s">
        <v>38</v>
      </c>
      <c r="B32" s="5" t="s">
        <v>59</v>
      </c>
      <c r="C32" s="18"/>
      <c r="D32" s="18"/>
      <c r="E32" s="2" t="s">
        <v>1164</v>
      </c>
      <c r="F32" s="1">
        <v>46</v>
      </c>
      <c r="G32" s="3">
        <v>46196</v>
      </c>
      <c r="H32" s="3"/>
      <c r="I32" s="3">
        <v>46206</v>
      </c>
      <c r="J32" s="1">
        <v>10</v>
      </c>
      <c r="K32" s="1">
        <v>0</v>
      </c>
      <c r="L32" s="1">
        <v>240</v>
      </c>
      <c r="M32" s="1">
        <v>800</v>
      </c>
      <c r="N32" s="1">
        <v>0</v>
      </c>
      <c r="O32" s="1">
        <v>0</v>
      </c>
      <c r="P32" s="1">
        <v>0</v>
      </c>
      <c r="Q32" s="2" t="s">
        <v>54</v>
      </c>
      <c r="R32" s="6" t="s">
        <v>146</v>
      </c>
      <c r="S32" s="2" t="s">
        <v>1323</v>
      </c>
      <c r="T32" s="3"/>
      <c r="V32" s="3"/>
      <c r="W32" s="2" t="s">
        <v>29</v>
      </c>
      <c r="X32"/>
      <c r="Y32"/>
    </row>
    <row r="33" spans="1:25" ht="41.25" customHeight="1" x14ac:dyDescent="0.25">
      <c r="A33" s="2" t="s">
        <v>39</v>
      </c>
      <c r="B33" s="5" t="s">
        <v>59</v>
      </c>
      <c r="C33" s="18"/>
      <c r="D33" s="18" t="s">
        <v>278</v>
      </c>
      <c r="E33" s="2" t="s">
        <v>296</v>
      </c>
      <c r="F33" s="1">
        <v>44</v>
      </c>
      <c r="G33" s="3">
        <v>46206</v>
      </c>
      <c r="H33" s="3"/>
      <c r="I33" s="3">
        <v>46214</v>
      </c>
      <c r="J33" s="1">
        <v>8</v>
      </c>
      <c r="K33" s="1">
        <v>0</v>
      </c>
      <c r="L33" s="1">
        <v>192</v>
      </c>
      <c r="M33" s="1">
        <v>33</v>
      </c>
      <c r="N33" s="1">
        <v>49</v>
      </c>
      <c r="O33" s="1">
        <v>14</v>
      </c>
      <c r="P33" s="1">
        <v>441</v>
      </c>
      <c r="Q33" s="2" t="s">
        <v>51</v>
      </c>
      <c r="R33" s="6" t="s">
        <v>43</v>
      </c>
      <c r="S33" s="2" t="s">
        <v>1324</v>
      </c>
      <c r="T33" s="3"/>
      <c r="V33" s="3"/>
      <c r="W33" s="2" t="s">
        <v>27</v>
      </c>
      <c r="X33"/>
      <c r="Y33"/>
    </row>
    <row r="34" spans="1:25" ht="41.25" customHeight="1" x14ac:dyDescent="0.25">
      <c r="A34" s="2" t="s">
        <v>39</v>
      </c>
      <c r="B34" s="5" t="s">
        <v>60</v>
      </c>
      <c r="C34" s="18"/>
      <c r="D34" s="18" t="s">
        <v>41</v>
      </c>
      <c r="E34" s="2" t="s">
        <v>1444</v>
      </c>
      <c r="F34" s="1">
        <v>46</v>
      </c>
      <c r="G34" s="3">
        <v>46133</v>
      </c>
      <c r="H34" s="3"/>
      <c r="I34" s="3">
        <v>46139</v>
      </c>
      <c r="J34" s="1">
        <v>6</v>
      </c>
      <c r="K34" s="1">
        <v>0</v>
      </c>
      <c r="L34" s="1">
        <v>144</v>
      </c>
      <c r="M34" s="1">
        <v>423</v>
      </c>
      <c r="N34" s="1">
        <v>68</v>
      </c>
      <c r="O34" s="1">
        <v>110</v>
      </c>
      <c r="P34" s="1">
        <v>240</v>
      </c>
      <c r="Q34" s="2" t="s">
        <v>51</v>
      </c>
      <c r="R34" s="6" t="s">
        <v>1493</v>
      </c>
      <c r="S34" s="2" t="s">
        <v>1445</v>
      </c>
      <c r="T34" s="3"/>
      <c r="V34" s="3"/>
      <c r="W34" s="2" t="s">
        <v>25</v>
      </c>
      <c r="X34"/>
      <c r="Y34"/>
    </row>
    <row r="35" spans="1:25" ht="41.25" customHeight="1" x14ac:dyDescent="0.25">
      <c r="A35" s="2" t="s">
        <v>39</v>
      </c>
      <c r="B35" s="5" t="s">
        <v>60</v>
      </c>
      <c r="C35" s="18"/>
      <c r="D35" s="18"/>
      <c r="E35" s="2" t="s">
        <v>219</v>
      </c>
      <c r="G35" s="3">
        <v>46139</v>
      </c>
      <c r="H35" s="3"/>
      <c r="I35" s="3">
        <v>46147</v>
      </c>
      <c r="J35" s="1">
        <v>8</v>
      </c>
      <c r="K35" s="1">
        <v>0</v>
      </c>
      <c r="L35" s="1">
        <v>192</v>
      </c>
      <c r="M35" s="1">
        <v>0</v>
      </c>
      <c r="N35" s="1">
        <v>0</v>
      </c>
      <c r="O35" s="1">
        <v>0</v>
      </c>
      <c r="Q35" s="2" t="s">
        <v>51</v>
      </c>
      <c r="R35" s="6" t="s">
        <v>108</v>
      </c>
      <c r="S35" s="2" t="s">
        <v>25</v>
      </c>
      <c r="T35" s="3"/>
      <c r="V35" s="3"/>
      <c r="W35" s="2" t="s">
        <v>95</v>
      </c>
      <c r="X35"/>
      <c r="Y35"/>
    </row>
    <row r="36" spans="1:25" ht="41.25" customHeight="1" x14ac:dyDescent="0.25">
      <c r="A36" s="2" t="s">
        <v>39</v>
      </c>
      <c r="B36" s="5" t="s">
        <v>60</v>
      </c>
      <c r="C36" s="18"/>
      <c r="D36" s="18"/>
      <c r="E36" s="2" t="s">
        <v>219</v>
      </c>
      <c r="G36" s="3">
        <v>46147</v>
      </c>
      <c r="H36" s="3"/>
      <c r="I36" s="3">
        <v>46155</v>
      </c>
      <c r="J36" s="1">
        <v>8</v>
      </c>
      <c r="K36" s="1">
        <v>0</v>
      </c>
      <c r="L36" s="1">
        <v>192</v>
      </c>
      <c r="M36" s="1">
        <v>0</v>
      </c>
      <c r="N36" s="1">
        <v>0</v>
      </c>
      <c r="O36" s="1">
        <v>0</v>
      </c>
      <c r="Q36" s="2" t="s">
        <v>51</v>
      </c>
      <c r="R36" s="6" t="s">
        <v>108</v>
      </c>
      <c r="S36" s="2" t="s">
        <v>25</v>
      </c>
      <c r="T36" s="3"/>
      <c r="V36" s="3"/>
      <c r="W36" s="2" t="s">
        <v>95</v>
      </c>
      <c r="X36"/>
      <c r="Y36"/>
    </row>
    <row r="37" spans="1:25" ht="41.25" customHeight="1" x14ac:dyDescent="0.25">
      <c r="A37" s="2" t="s">
        <v>39</v>
      </c>
      <c r="B37" s="5" t="s">
        <v>60</v>
      </c>
      <c r="C37" s="18"/>
      <c r="D37" s="18" t="s">
        <v>116</v>
      </c>
      <c r="E37" s="2" t="s">
        <v>1165</v>
      </c>
      <c r="F37" s="1">
        <v>15</v>
      </c>
      <c r="G37" s="3">
        <v>46155</v>
      </c>
      <c r="H37" s="3"/>
      <c r="I37" s="3">
        <v>46161</v>
      </c>
      <c r="J37" s="1">
        <v>6</v>
      </c>
      <c r="K37" s="1">
        <v>0</v>
      </c>
      <c r="L37" s="1">
        <v>144</v>
      </c>
      <c r="M37" s="1">
        <v>74</v>
      </c>
      <c r="N37" s="1">
        <v>59</v>
      </c>
      <c r="O37" s="1">
        <v>25</v>
      </c>
      <c r="P37" s="1">
        <v>129</v>
      </c>
      <c r="Q37" s="2" t="s">
        <v>51</v>
      </c>
      <c r="R37" s="6" t="s">
        <v>43</v>
      </c>
      <c r="S37" s="2" t="s">
        <v>25</v>
      </c>
      <c r="T37" s="3"/>
      <c r="V37" s="3"/>
      <c r="W37" s="2" t="s">
        <v>24</v>
      </c>
      <c r="X37"/>
      <c r="Y37"/>
    </row>
    <row r="38" spans="1:25" ht="41.25" customHeight="1" x14ac:dyDescent="0.25">
      <c r="A38" s="2" t="s">
        <v>39</v>
      </c>
      <c r="B38" s="5" t="s">
        <v>60</v>
      </c>
      <c r="C38" s="18"/>
      <c r="D38" s="18" t="s">
        <v>116</v>
      </c>
      <c r="E38" s="2" t="s">
        <v>1494</v>
      </c>
      <c r="F38" s="1">
        <v>10</v>
      </c>
      <c r="G38" s="3">
        <v>46161</v>
      </c>
      <c r="H38" s="3"/>
      <c r="I38" s="3">
        <v>46167</v>
      </c>
      <c r="J38" s="1">
        <v>6</v>
      </c>
      <c r="K38" s="1">
        <v>0</v>
      </c>
      <c r="L38" s="1">
        <v>144</v>
      </c>
      <c r="M38" s="1">
        <v>181</v>
      </c>
      <c r="N38" s="1">
        <v>92</v>
      </c>
      <c r="O38" s="1">
        <v>12</v>
      </c>
      <c r="P38" s="1">
        <v>32</v>
      </c>
      <c r="Q38" s="2" t="s">
        <v>51</v>
      </c>
      <c r="R38" s="6" t="s">
        <v>43</v>
      </c>
      <c r="S38" s="2" t="s">
        <v>25</v>
      </c>
      <c r="T38" s="3"/>
      <c r="V38" s="3"/>
      <c r="W38" s="2" t="s">
        <v>95</v>
      </c>
      <c r="X38"/>
      <c r="Y38"/>
    </row>
    <row r="39" spans="1:25" ht="41.25" customHeight="1" x14ac:dyDescent="0.25">
      <c r="A39" s="2" t="s">
        <v>39</v>
      </c>
      <c r="B39" s="5" t="s">
        <v>60</v>
      </c>
      <c r="C39" s="18"/>
      <c r="D39" s="18" t="s">
        <v>116</v>
      </c>
      <c r="E39" s="2" t="s">
        <v>1166</v>
      </c>
      <c r="F39" s="1">
        <v>17</v>
      </c>
      <c r="G39" s="3">
        <v>46167</v>
      </c>
      <c r="H39" s="3"/>
      <c r="I39" s="3">
        <v>46176</v>
      </c>
      <c r="J39" s="1">
        <v>8</v>
      </c>
      <c r="K39" s="1">
        <v>1</v>
      </c>
      <c r="L39" s="1">
        <v>216</v>
      </c>
      <c r="M39" s="1">
        <v>320</v>
      </c>
      <c r="N39" s="1">
        <v>65</v>
      </c>
      <c r="O39" s="1">
        <v>94</v>
      </c>
      <c r="P39" s="1">
        <v>220</v>
      </c>
      <c r="Q39" s="2" t="s">
        <v>103</v>
      </c>
      <c r="R39" s="6" t="s">
        <v>1495</v>
      </c>
      <c r="S39" s="2" t="s">
        <v>25</v>
      </c>
      <c r="T39" s="3"/>
      <c r="V39" s="3"/>
      <c r="W39" s="2" t="s">
        <v>24</v>
      </c>
      <c r="X39"/>
      <c r="Y39"/>
    </row>
    <row r="40" spans="1:25" ht="41.25" customHeight="1" x14ac:dyDescent="0.25">
      <c r="A40" s="2" t="s">
        <v>39</v>
      </c>
      <c r="B40" s="5" t="s">
        <v>60</v>
      </c>
      <c r="C40" s="18"/>
      <c r="D40" s="18"/>
      <c r="E40" s="2" t="s">
        <v>1419</v>
      </c>
      <c r="F40" s="1">
        <v>19</v>
      </c>
      <c r="G40" s="3">
        <v>46176</v>
      </c>
      <c r="H40" s="3"/>
      <c r="I40" s="3">
        <v>46184</v>
      </c>
      <c r="J40" s="1">
        <v>7</v>
      </c>
      <c r="K40" s="1">
        <v>1</v>
      </c>
      <c r="L40" s="1">
        <v>192</v>
      </c>
      <c r="M40" s="1">
        <v>12</v>
      </c>
      <c r="N40" s="1">
        <v>0</v>
      </c>
      <c r="O40" s="1">
        <v>10</v>
      </c>
      <c r="P40" s="1">
        <v>254</v>
      </c>
      <c r="Q40" s="2" t="s">
        <v>109</v>
      </c>
      <c r="R40" s="6" t="s">
        <v>1281</v>
      </c>
      <c r="S40" s="2" t="s">
        <v>25</v>
      </c>
      <c r="T40" s="3"/>
      <c r="V40" s="3"/>
      <c r="W40" s="2" t="s">
        <v>95</v>
      </c>
      <c r="X40"/>
      <c r="Y40"/>
    </row>
    <row r="41" spans="1:25" ht="41.25" customHeight="1" x14ac:dyDescent="0.25">
      <c r="A41" s="2" t="s">
        <v>39</v>
      </c>
      <c r="B41" s="5" t="s">
        <v>60</v>
      </c>
      <c r="C41" s="18"/>
      <c r="D41" s="18" t="s">
        <v>116</v>
      </c>
      <c r="E41" s="2" t="s">
        <v>1198</v>
      </c>
      <c r="F41" s="1">
        <v>10</v>
      </c>
      <c r="G41" s="3">
        <v>46184</v>
      </c>
      <c r="H41" s="3"/>
      <c r="I41" s="3">
        <v>46193</v>
      </c>
      <c r="J41" s="1">
        <v>8</v>
      </c>
      <c r="K41" s="1">
        <v>1</v>
      </c>
      <c r="L41" s="1">
        <v>216</v>
      </c>
      <c r="M41" s="1">
        <v>37</v>
      </c>
      <c r="N41" s="1">
        <v>50</v>
      </c>
      <c r="O41" s="1">
        <v>16</v>
      </c>
      <c r="P41" s="1">
        <v>6</v>
      </c>
      <c r="Q41" s="2" t="s">
        <v>103</v>
      </c>
      <c r="R41" s="6" t="s">
        <v>1199</v>
      </c>
      <c r="S41" s="2" t="s">
        <v>25</v>
      </c>
      <c r="T41" s="3"/>
      <c r="V41" s="3"/>
      <c r="W41" s="2" t="s">
        <v>24</v>
      </c>
      <c r="X41"/>
      <c r="Y41"/>
    </row>
    <row r="42" spans="1:25" ht="41.25" customHeight="1" x14ac:dyDescent="0.25">
      <c r="A42" s="2" t="s">
        <v>39</v>
      </c>
      <c r="B42" s="5" t="s">
        <v>60</v>
      </c>
      <c r="C42" s="18"/>
      <c r="D42" s="18"/>
      <c r="E42" s="2" t="s">
        <v>158</v>
      </c>
      <c r="F42" s="1">
        <v>10</v>
      </c>
      <c r="G42" s="3">
        <v>46193</v>
      </c>
      <c r="H42" s="3"/>
      <c r="I42" s="3">
        <v>46202</v>
      </c>
      <c r="J42" s="1">
        <v>8</v>
      </c>
      <c r="K42" s="1">
        <v>1</v>
      </c>
      <c r="L42" s="1">
        <v>216</v>
      </c>
      <c r="M42" s="1">
        <v>62</v>
      </c>
      <c r="N42" s="1">
        <v>70</v>
      </c>
      <c r="O42" s="1">
        <v>16</v>
      </c>
      <c r="P42" s="1">
        <v>221</v>
      </c>
      <c r="Q42" s="2" t="s">
        <v>51</v>
      </c>
      <c r="R42" s="6" t="s">
        <v>1259</v>
      </c>
      <c r="S42" s="2" t="s">
        <v>25</v>
      </c>
      <c r="T42" s="3"/>
      <c r="V42" s="3"/>
      <c r="W42" s="2" t="s">
        <v>24</v>
      </c>
      <c r="X42"/>
      <c r="Y42"/>
    </row>
    <row r="43" spans="1:25" ht="41.25" customHeight="1" x14ac:dyDescent="0.25">
      <c r="A43" s="2" t="s">
        <v>39</v>
      </c>
      <c r="B43" s="5" t="s">
        <v>60</v>
      </c>
      <c r="C43" s="18"/>
      <c r="D43" s="18"/>
      <c r="E43" s="2" t="s">
        <v>858</v>
      </c>
      <c r="F43" s="1">
        <v>14</v>
      </c>
      <c r="G43" s="3">
        <v>46202</v>
      </c>
      <c r="H43" s="3"/>
      <c r="I43" s="3">
        <v>46210</v>
      </c>
      <c r="J43" s="1">
        <v>8</v>
      </c>
      <c r="K43" s="1">
        <v>0</v>
      </c>
      <c r="L43" s="1">
        <v>192</v>
      </c>
      <c r="M43" s="1">
        <v>32</v>
      </c>
      <c r="N43" s="1">
        <v>40</v>
      </c>
      <c r="O43" s="1">
        <v>16</v>
      </c>
      <c r="P43" s="1">
        <v>22</v>
      </c>
      <c r="Q43" s="2" t="s">
        <v>103</v>
      </c>
      <c r="R43" s="6" t="s">
        <v>1446</v>
      </c>
      <c r="S43" s="2" t="s">
        <v>25</v>
      </c>
      <c r="T43" s="3"/>
      <c r="V43" s="3"/>
      <c r="W43" s="2" t="s">
        <v>24</v>
      </c>
      <c r="X43"/>
      <c r="Y43"/>
    </row>
    <row r="44" spans="1:25" ht="41.25" customHeight="1" x14ac:dyDescent="0.25">
      <c r="A44" s="2" t="s">
        <v>39</v>
      </c>
      <c r="B44" s="5" t="s">
        <v>60</v>
      </c>
      <c r="C44" s="18"/>
      <c r="D44" s="18"/>
      <c r="E44" s="2" t="s">
        <v>901</v>
      </c>
      <c r="F44" s="1">
        <v>17</v>
      </c>
      <c r="G44" s="3">
        <v>46210</v>
      </c>
      <c r="H44" s="3"/>
      <c r="I44" s="3">
        <v>46217</v>
      </c>
      <c r="J44" s="1">
        <v>7</v>
      </c>
      <c r="K44" s="1">
        <v>0</v>
      </c>
      <c r="L44" s="1">
        <v>168</v>
      </c>
      <c r="M44" s="1">
        <v>7</v>
      </c>
      <c r="N44" s="1">
        <v>31</v>
      </c>
      <c r="O44" s="1">
        <v>4</v>
      </c>
      <c r="P44" s="1">
        <v>575</v>
      </c>
      <c r="Q44" s="2" t="s">
        <v>109</v>
      </c>
      <c r="R44" s="6" t="s">
        <v>1281</v>
      </c>
      <c r="S44" s="2" t="s">
        <v>25</v>
      </c>
      <c r="T44" s="3"/>
      <c r="V44" s="3"/>
      <c r="W44" s="2" t="s">
        <v>24</v>
      </c>
      <c r="X44"/>
      <c r="Y44"/>
    </row>
    <row r="45" spans="1:25" ht="41.25" customHeight="1" x14ac:dyDescent="0.25">
      <c r="A45" s="2" t="s">
        <v>39</v>
      </c>
      <c r="B45" s="5" t="s">
        <v>60</v>
      </c>
      <c r="C45" s="18"/>
      <c r="D45" s="18"/>
      <c r="E45" s="2" t="s">
        <v>898</v>
      </c>
      <c r="F45" s="1">
        <v>17</v>
      </c>
      <c r="G45" s="3">
        <v>46217</v>
      </c>
      <c r="H45" s="3"/>
      <c r="I45" s="3">
        <v>46227</v>
      </c>
      <c r="J45" s="1">
        <v>10</v>
      </c>
      <c r="K45" s="1">
        <v>0</v>
      </c>
      <c r="L45" s="1">
        <v>240</v>
      </c>
      <c r="M45" s="1">
        <v>500</v>
      </c>
      <c r="N45" s="1">
        <v>0</v>
      </c>
      <c r="O45" s="1">
        <v>0</v>
      </c>
      <c r="P45" s="1">
        <v>0</v>
      </c>
      <c r="Q45" s="2" t="s">
        <v>103</v>
      </c>
      <c r="R45" s="6" t="s">
        <v>1280</v>
      </c>
      <c r="S45" s="2" t="s">
        <v>25</v>
      </c>
      <c r="T45" s="3"/>
      <c r="V45" s="3"/>
      <c r="W45" s="2" t="s">
        <v>24</v>
      </c>
      <c r="X45"/>
      <c r="Y45"/>
    </row>
    <row r="46" spans="1:25" ht="41.25" customHeight="1" x14ac:dyDescent="0.25">
      <c r="A46" s="2" t="s">
        <v>38</v>
      </c>
      <c r="B46" s="5" t="s">
        <v>63</v>
      </c>
      <c r="C46" s="18"/>
      <c r="D46" s="18" t="s">
        <v>41</v>
      </c>
      <c r="E46" s="2" t="s">
        <v>1189</v>
      </c>
      <c r="F46" s="1">
        <v>91</v>
      </c>
      <c r="G46" s="3">
        <v>46133</v>
      </c>
      <c r="H46" s="3"/>
      <c r="I46" s="3">
        <v>46134</v>
      </c>
      <c r="J46" s="1">
        <v>1</v>
      </c>
      <c r="K46" s="1">
        <v>0</v>
      </c>
      <c r="L46" s="1">
        <v>24</v>
      </c>
      <c r="M46" s="1">
        <v>100</v>
      </c>
      <c r="N46" s="1">
        <v>0</v>
      </c>
      <c r="O46" s="1">
        <v>0</v>
      </c>
      <c r="Q46" s="2" t="s">
        <v>53</v>
      </c>
      <c r="R46" s="6" t="s">
        <v>1420</v>
      </c>
      <c r="S46" s="2" t="s">
        <v>25</v>
      </c>
      <c r="T46" s="3"/>
      <c r="V46" s="3"/>
      <c r="W46" s="2" t="s">
        <v>95</v>
      </c>
      <c r="X46"/>
      <c r="Y46"/>
    </row>
    <row r="47" spans="1:25" ht="41.25" customHeight="1" x14ac:dyDescent="0.25">
      <c r="A47" s="2" t="s">
        <v>38</v>
      </c>
      <c r="B47" s="5" t="s">
        <v>63</v>
      </c>
      <c r="C47" s="18" t="s">
        <v>23</v>
      </c>
      <c r="D47" s="18"/>
      <c r="E47" s="2" t="s">
        <v>1069</v>
      </c>
      <c r="F47" s="1">
        <v>88</v>
      </c>
      <c r="G47" s="3">
        <v>46134</v>
      </c>
      <c r="H47" s="3"/>
      <c r="I47" s="3">
        <v>46144</v>
      </c>
      <c r="J47" s="1">
        <v>10</v>
      </c>
      <c r="K47" s="1">
        <v>0</v>
      </c>
      <c r="L47" s="1">
        <v>240</v>
      </c>
      <c r="M47" s="1">
        <v>79</v>
      </c>
      <c r="N47" s="1">
        <v>20</v>
      </c>
      <c r="O47" s="1">
        <v>52</v>
      </c>
      <c r="P47" s="1">
        <v>320</v>
      </c>
      <c r="Q47" s="2" t="s">
        <v>103</v>
      </c>
      <c r="R47" s="6" t="s">
        <v>1154</v>
      </c>
      <c r="S47" s="2" t="s">
        <v>1348</v>
      </c>
      <c r="T47" s="3"/>
      <c r="V47" s="3"/>
      <c r="W47" s="2" t="s">
        <v>25</v>
      </c>
      <c r="X47"/>
      <c r="Y47"/>
    </row>
    <row r="48" spans="1:25" ht="41.25" customHeight="1" x14ac:dyDescent="0.25">
      <c r="A48" s="2" t="s">
        <v>38</v>
      </c>
      <c r="B48" s="5" t="s">
        <v>63</v>
      </c>
      <c r="C48" s="18"/>
      <c r="D48" s="18" t="s">
        <v>1496</v>
      </c>
      <c r="E48" s="2" t="s">
        <v>275</v>
      </c>
      <c r="F48" s="1">
        <v>87</v>
      </c>
      <c r="G48" s="3">
        <v>46144</v>
      </c>
      <c r="H48" s="3"/>
      <c r="I48" s="3">
        <v>46154</v>
      </c>
      <c r="J48" s="1">
        <v>10</v>
      </c>
      <c r="K48" s="1">
        <v>0</v>
      </c>
      <c r="L48" s="1">
        <v>240</v>
      </c>
      <c r="M48" s="1">
        <v>704</v>
      </c>
      <c r="N48" s="1">
        <v>25</v>
      </c>
      <c r="O48" s="1">
        <v>432</v>
      </c>
      <c r="P48" s="1">
        <v>322</v>
      </c>
      <c r="Q48" s="2" t="s">
        <v>56</v>
      </c>
      <c r="R48" s="6" t="s">
        <v>1497</v>
      </c>
      <c r="S48" s="2" t="s">
        <v>1498</v>
      </c>
      <c r="T48" s="3"/>
      <c r="V48" s="3"/>
      <c r="W48" s="2" t="s">
        <v>27</v>
      </c>
      <c r="X48"/>
      <c r="Y48"/>
    </row>
    <row r="49" spans="1:25" ht="41.25" customHeight="1" x14ac:dyDescent="0.25">
      <c r="A49" s="2" t="s">
        <v>38</v>
      </c>
      <c r="B49" s="5" t="s">
        <v>63</v>
      </c>
      <c r="C49" s="18"/>
      <c r="D49" s="18" t="s">
        <v>1288</v>
      </c>
      <c r="E49" s="2" t="s">
        <v>1106</v>
      </c>
      <c r="F49" s="1">
        <v>6</v>
      </c>
      <c r="G49" s="3">
        <v>46154</v>
      </c>
      <c r="H49" s="3"/>
      <c r="I49" s="3">
        <v>46164</v>
      </c>
      <c r="J49" s="1">
        <v>10</v>
      </c>
      <c r="K49" s="1">
        <v>0</v>
      </c>
      <c r="L49" s="1">
        <v>240</v>
      </c>
      <c r="M49" s="1">
        <v>32</v>
      </c>
      <c r="N49" s="1">
        <v>2</v>
      </c>
      <c r="O49" s="1">
        <v>25</v>
      </c>
      <c r="P49" s="1">
        <v>239</v>
      </c>
      <c r="Q49" s="2" t="s">
        <v>51</v>
      </c>
      <c r="R49" s="6" t="s">
        <v>1168</v>
      </c>
      <c r="S49" s="2" t="s">
        <v>25</v>
      </c>
      <c r="T49" s="3"/>
      <c r="V49" s="3"/>
      <c r="W49" s="2" t="s">
        <v>27</v>
      </c>
      <c r="X49"/>
      <c r="Y49"/>
    </row>
    <row r="50" spans="1:25" ht="45.75" customHeight="1" x14ac:dyDescent="0.25">
      <c r="A50" s="2" t="s">
        <v>38</v>
      </c>
      <c r="B50" s="5" t="s">
        <v>63</v>
      </c>
      <c r="C50" s="18"/>
      <c r="D50" s="18"/>
      <c r="E50" s="2" t="s">
        <v>219</v>
      </c>
      <c r="G50" s="3">
        <v>46164</v>
      </c>
      <c r="H50" s="3"/>
      <c r="I50" s="3">
        <v>46172</v>
      </c>
      <c r="J50" s="1">
        <v>8</v>
      </c>
      <c r="K50" s="1">
        <v>0</v>
      </c>
      <c r="L50" s="1">
        <v>192</v>
      </c>
      <c r="M50" s="1">
        <v>0</v>
      </c>
      <c r="N50" s="1">
        <v>0</v>
      </c>
      <c r="O50" s="1">
        <v>0</v>
      </c>
      <c r="Q50" s="2" t="s">
        <v>51</v>
      </c>
      <c r="R50" s="6"/>
      <c r="S50" s="2" t="s">
        <v>25</v>
      </c>
      <c r="T50" s="3"/>
      <c r="V50" s="3"/>
      <c r="W50" s="2" t="s">
        <v>95</v>
      </c>
      <c r="X50"/>
      <c r="Y50"/>
    </row>
    <row r="51" spans="1:25" ht="41.25" customHeight="1" x14ac:dyDescent="0.25">
      <c r="A51" s="2" t="s">
        <v>38</v>
      </c>
      <c r="B51" s="5" t="s">
        <v>63</v>
      </c>
      <c r="C51" s="18"/>
      <c r="D51" s="18"/>
      <c r="E51" s="2" t="s">
        <v>739</v>
      </c>
      <c r="F51" s="1">
        <v>333</v>
      </c>
      <c r="G51" s="3">
        <v>46172</v>
      </c>
      <c r="H51" s="3"/>
      <c r="I51" s="3">
        <v>46188</v>
      </c>
      <c r="J51" s="1">
        <v>16</v>
      </c>
      <c r="K51" s="1">
        <v>0</v>
      </c>
      <c r="L51" s="1">
        <v>384</v>
      </c>
      <c r="M51" s="1">
        <v>103</v>
      </c>
      <c r="N51" s="1">
        <v>10</v>
      </c>
      <c r="O51" s="1">
        <v>76</v>
      </c>
      <c r="P51" s="1">
        <v>360</v>
      </c>
      <c r="Q51" s="2" t="s">
        <v>272</v>
      </c>
      <c r="R51" s="6" t="s">
        <v>1471</v>
      </c>
      <c r="S51" s="2" t="s">
        <v>1472</v>
      </c>
      <c r="T51" s="3"/>
      <c r="V51" s="3"/>
      <c r="W51" s="2" t="s">
        <v>25</v>
      </c>
      <c r="X51"/>
      <c r="Y51"/>
    </row>
    <row r="52" spans="1:25" ht="41.25" customHeight="1" x14ac:dyDescent="0.25">
      <c r="A52" s="2" t="s">
        <v>38</v>
      </c>
      <c r="B52" s="5" t="s">
        <v>65</v>
      </c>
      <c r="C52" s="18" t="s">
        <v>23</v>
      </c>
      <c r="D52" s="18" t="s">
        <v>41</v>
      </c>
      <c r="E52" s="2" t="s">
        <v>1421</v>
      </c>
      <c r="F52" s="1">
        <v>81</v>
      </c>
      <c r="G52" s="3">
        <v>46131</v>
      </c>
      <c r="H52" s="3"/>
      <c r="I52" s="3">
        <v>46140</v>
      </c>
      <c r="J52" s="1">
        <v>9</v>
      </c>
      <c r="K52" s="1">
        <v>0</v>
      </c>
      <c r="L52" s="1">
        <v>216</v>
      </c>
      <c r="M52" s="1">
        <v>602</v>
      </c>
      <c r="N52" s="1">
        <v>78</v>
      </c>
      <c r="O52" s="1">
        <v>0</v>
      </c>
      <c r="P52" s="1">
        <v>812</v>
      </c>
      <c r="Q52" s="2" t="s">
        <v>54</v>
      </c>
      <c r="R52" s="6" t="s">
        <v>1414</v>
      </c>
      <c r="S52" s="2" t="s">
        <v>25</v>
      </c>
      <c r="T52" s="3"/>
      <c r="V52" s="3"/>
      <c r="W52" s="2" t="s">
        <v>95</v>
      </c>
      <c r="X52"/>
      <c r="Y52"/>
    </row>
    <row r="53" spans="1:25" ht="41.25" customHeight="1" x14ac:dyDescent="0.25">
      <c r="A53" s="2" t="s">
        <v>38</v>
      </c>
      <c r="B53" s="5" t="s">
        <v>65</v>
      </c>
      <c r="C53" s="18" t="s">
        <v>46</v>
      </c>
      <c r="D53" s="18" t="s">
        <v>116</v>
      </c>
      <c r="E53" s="2" t="s">
        <v>1163</v>
      </c>
      <c r="F53" s="1">
        <v>333</v>
      </c>
      <c r="G53" s="3">
        <v>46140</v>
      </c>
      <c r="H53" s="3"/>
      <c r="I53" s="3">
        <v>46148</v>
      </c>
      <c r="J53" s="1">
        <v>8</v>
      </c>
      <c r="K53" s="1">
        <v>0</v>
      </c>
      <c r="L53" s="1">
        <v>192</v>
      </c>
      <c r="M53" s="1">
        <v>260</v>
      </c>
      <c r="N53" s="1">
        <v>10</v>
      </c>
      <c r="O53" s="1">
        <v>191</v>
      </c>
      <c r="Q53" s="2" t="s">
        <v>57</v>
      </c>
      <c r="R53" s="6" t="s">
        <v>1473</v>
      </c>
      <c r="S53" s="2" t="s">
        <v>1325</v>
      </c>
      <c r="T53" s="3"/>
      <c r="V53" s="3"/>
      <c r="W53" s="2" t="s">
        <v>276</v>
      </c>
      <c r="X53"/>
      <c r="Y53"/>
    </row>
    <row r="54" spans="1:25" ht="41.25" customHeight="1" x14ac:dyDescent="0.25">
      <c r="A54" s="2" t="s">
        <v>39</v>
      </c>
      <c r="B54" s="5" t="s">
        <v>65</v>
      </c>
      <c r="C54" s="18"/>
      <c r="D54" s="18" t="s">
        <v>30</v>
      </c>
      <c r="E54" s="2" t="s">
        <v>153</v>
      </c>
      <c r="F54" s="1">
        <v>333</v>
      </c>
      <c r="G54" s="3">
        <v>46148</v>
      </c>
      <c r="H54" s="3"/>
      <c r="I54" s="3">
        <v>46151</v>
      </c>
      <c r="J54" s="1">
        <v>3</v>
      </c>
      <c r="K54" s="1">
        <v>0</v>
      </c>
      <c r="L54" s="1">
        <v>72</v>
      </c>
      <c r="M54" s="1">
        <v>500</v>
      </c>
      <c r="N54" s="1">
        <v>0</v>
      </c>
      <c r="O54" s="1">
        <v>0</v>
      </c>
      <c r="P54" s="1">
        <v>0</v>
      </c>
      <c r="Q54" s="2" t="s">
        <v>97</v>
      </c>
      <c r="R54" s="6" t="s">
        <v>1187</v>
      </c>
      <c r="S54" s="2" t="s">
        <v>1326</v>
      </c>
      <c r="T54" s="3"/>
      <c r="V54" s="3"/>
      <c r="W54" s="2" t="s">
        <v>28</v>
      </c>
      <c r="X54"/>
      <c r="Y54"/>
    </row>
    <row r="55" spans="1:25" ht="41.25" customHeight="1" x14ac:dyDescent="0.25">
      <c r="A55" s="2" t="s">
        <v>39</v>
      </c>
      <c r="B55" s="5" t="s">
        <v>65</v>
      </c>
      <c r="C55" s="18"/>
      <c r="D55" s="18"/>
      <c r="E55" s="2" t="s">
        <v>244</v>
      </c>
      <c r="F55" s="1">
        <v>333</v>
      </c>
      <c r="G55" s="3">
        <v>46151</v>
      </c>
      <c r="H55" s="3"/>
      <c r="I55" s="3">
        <v>46159</v>
      </c>
      <c r="J55" s="1">
        <v>8</v>
      </c>
      <c r="K55" s="1">
        <v>0</v>
      </c>
      <c r="L55" s="1">
        <v>192</v>
      </c>
      <c r="M55" s="1">
        <v>500</v>
      </c>
      <c r="N55" s="1">
        <v>0</v>
      </c>
      <c r="O55" s="1">
        <v>0</v>
      </c>
      <c r="P55" s="1">
        <v>0</v>
      </c>
      <c r="Q55" s="2" t="s">
        <v>54</v>
      </c>
      <c r="R55" s="6" t="s">
        <v>230</v>
      </c>
      <c r="S55" s="2" t="s">
        <v>1327</v>
      </c>
      <c r="T55" s="3"/>
      <c r="V55" s="3"/>
      <c r="W55" s="2" t="s">
        <v>27</v>
      </c>
      <c r="X55"/>
      <c r="Y55"/>
    </row>
    <row r="56" spans="1:25" ht="41.25" customHeight="1" x14ac:dyDescent="0.25">
      <c r="A56" s="2" t="s">
        <v>38</v>
      </c>
      <c r="B56" s="5" t="s">
        <v>65</v>
      </c>
      <c r="C56" s="18"/>
      <c r="D56" s="18" t="s">
        <v>1185</v>
      </c>
      <c r="E56" s="2" t="s">
        <v>1230</v>
      </c>
      <c r="F56" s="1">
        <v>333</v>
      </c>
      <c r="G56" s="3">
        <v>46159</v>
      </c>
      <c r="H56" s="3"/>
      <c r="I56" s="3">
        <v>46169</v>
      </c>
      <c r="J56" s="1">
        <v>10</v>
      </c>
      <c r="K56" s="1">
        <v>0</v>
      </c>
      <c r="L56" s="1">
        <v>240</v>
      </c>
      <c r="M56" s="1">
        <v>222</v>
      </c>
      <c r="N56" s="1">
        <v>30</v>
      </c>
      <c r="O56" s="1">
        <v>126</v>
      </c>
      <c r="P56" s="1">
        <v>320</v>
      </c>
      <c r="Q56" s="2" t="s">
        <v>57</v>
      </c>
      <c r="R56" s="6" t="s">
        <v>1231</v>
      </c>
      <c r="S56" s="2" t="s">
        <v>1328</v>
      </c>
      <c r="T56" s="3"/>
      <c r="V56" s="3"/>
      <c r="W56" s="2" t="s">
        <v>27</v>
      </c>
      <c r="X56"/>
      <c r="Y56"/>
    </row>
    <row r="57" spans="1:25" ht="41.25" customHeight="1" x14ac:dyDescent="0.25">
      <c r="A57" s="2" t="s">
        <v>38</v>
      </c>
      <c r="B57" s="5" t="s">
        <v>65</v>
      </c>
      <c r="C57" s="18"/>
      <c r="D57" s="18"/>
      <c r="E57" s="2" t="s">
        <v>739</v>
      </c>
      <c r="F57" s="1">
        <v>333</v>
      </c>
      <c r="G57" s="3">
        <v>46169</v>
      </c>
      <c r="H57" s="3"/>
      <c r="I57" s="3">
        <v>46175</v>
      </c>
      <c r="J57" s="1">
        <v>6</v>
      </c>
      <c r="K57" s="1">
        <v>0</v>
      </c>
      <c r="L57" s="1">
        <v>144</v>
      </c>
      <c r="M57" s="1">
        <v>103</v>
      </c>
      <c r="N57" s="1">
        <v>10</v>
      </c>
      <c r="O57" s="1">
        <v>76</v>
      </c>
      <c r="P57" s="1">
        <v>360</v>
      </c>
      <c r="Q57" s="2" t="s">
        <v>48</v>
      </c>
      <c r="R57" s="6" t="s">
        <v>1474</v>
      </c>
      <c r="S57" s="2" t="s">
        <v>1472</v>
      </c>
      <c r="T57" s="3"/>
      <c r="V57" s="3"/>
      <c r="W57" s="2" t="s">
        <v>25</v>
      </c>
      <c r="X57"/>
      <c r="Y57"/>
    </row>
    <row r="58" spans="1:25" ht="41.25" customHeight="1" x14ac:dyDescent="0.25">
      <c r="A58" s="2" t="s">
        <v>39</v>
      </c>
      <c r="B58" s="5" t="s">
        <v>65</v>
      </c>
      <c r="C58" s="18"/>
      <c r="D58" s="18"/>
      <c r="E58" s="2" t="s">
        <v>349</v>
      </c>
      <c r="F58" s="1">
        <v>57</v>
      </c>
      <c r="G58" s="3">
        <v>46175</v>
      </c>
      <c r="H58" s="3"/>
      <c r="I58" s="3">
        <v>46185</v>
      </c>
      <c r="J58" s="1">
        <v>10</v>
      </c>
      <c r="K58" s="1">
        <v>0</v>
      </c>
      <c r="L58" s="1">
        <v>240</v>
      </c>
      <c r="M58" s="1">
        <v>500</v>
      </c>
      <c r="N58" s="1">
        <v>0</v>
      </c>
      <c r="O58" s="1">
        <v>0</v>
      </c>
      <c r="P58" s="1">
        <v>0</v>
      </c>
      <c r="Q58" s="2" t="s">
        <v>53</v>
      </c>
      <c r="R58" s="6" t="s">
        <v>350</v>
      </c>
      <c r="S58" s="2" t="s">
        <v>25</v>
      </c>
      <c r="T58" s="3"/>
      <c r="V58" s="3"/>
      <c r="W58" s="2" t="s">
        <v>27</v>
      </c>
      <c r="X58"/>
      <c r="Y58"/>
    </row>
    <row r="59" spans="1:25" ht="41.25" customHeight="1" x14ac:dyDescent="0.25">
      <c r="A59" s="2" t="s">
        <v>38</v>
      </c>
      <c r="B59" s="5" t="s">
        <v>65</v>
      </c>
      <c r="C59" s="18"/>
      <c r="D59" s="18"/>
      <c r="E59" s="2" t="s">
        <v>325</v>
      </c>
      <c r="F59" s="1">
        <v>57</v>
      </c>
      <c r="G59" s="3">
        <v>46185</v>
      </c>
      <c r="H59" s="3"/>
      <c r="I59" s="3">
        <v>46195</v>
      </c>
      <c r="J59" s="1">
        <v>10</v>
      </c>
      <c r="K59" s="1">
        <v>0</v>
      </c>
      <c r="L59" s="1">
        <v>240</v>
      </c>
      <c r="M59" s="1">
        <v>1000</v>
      </c>
      <c r="N59" s="1">
        <v>0</v>
      </c>
      <c r="O59" s="1">
        <v>0</v>
      </c>
      <c r="P59" s="1">
        <v>0</v>
      </c>
      <c r="Q59" s="2" t="s">
        <v>54</v>
      </c>
      <c r="R59" s="6" t="s">
        <v>1329</v>
      </c>
      <c r="S59" s="2" t="s">
        <v>25</v>
      </c>
      <c r="T59" s="3"/>
      <c r="V59" s="3"/>
      <c r="W59" s="2" t="s">
        <v>29</v>
      </c>
      <c r="X59"/>
      <c r="Y59"/>
    </row>
    <row r="60" spans="1:25" ht="41.25" customHeight="1" x14ac:dyDescent="0.25">
      <c r="A60" s="2" t="s">
        <v>38</v>
      </c>
      <c r="B60" s="5" t="s">
        <v>65</v>
      </c>
      <c r="C60" s="18"/>
      <c r="D60" s="18"/>
      <c r="E60" s="2" t="s">
        <v>241</v>
      </c>
      <c r="G60" s="3">
        <v>46195</v>
      </c>
      <c r="H60" s="3"/>
      <c r="I60" s="3">
        <v>46205</v>
      </c>
      <c r="J60" s="1">
        <v>10</v>
      </c>
      <c r="K60" s="1">
        <v>0</v>
      </c>
      <c r="L60" s="1">
        <v>240</v>
      </c>
      <c r="M60" s="1">
        <v>0</v>
      </c>
      <c r="N60" s="1">
        <v>0</v>
      </c>
      <c r="O60" s="1">
        <v>0</v>
      </c>
      <c r="Q60" s="2" t="s">
        <v>51</v>
      </c>
      <c r="R60" s="6" t="s">
        <v>26</v>
      </c>
      <c r="S60" s="2" t="s">
        <v>25</v>
      </c>
      <c r="T60" s="3"/>
      <c r="V60" s="3"/>
      <c r="W60" s="2" t="s">
        <v>95</v>
      </c>
      <c r="X60"/>
      <c r="Y60"/>
    </row>
    <row r="61" spans="1:25" ht="41.25" customHeight="1" x14ac:dyDescent="0.25">
      <c r="A61" s="2" t="s">
        <v>38</v>
      </c>
      <c r="B61" s="5" t="s">
        <v>65</v>
      </c>
      <c r="C61" s="18"/>
      <c r="D61" s="18"/>
      <c r="E61" s="2" t="s">
        <v>219</v>
      </c>
      <c r="G61" s="3">
        <v>46205</v>
      </c>
      <c r="H61" s="3"/>
      <c r="I61" s="3">
        <v>46213</v>
      </c>
      <c r="J61" s="1">
        <v>8</v>
      </c>
      <c r="K61" s="1">
        <v>0</v>
      </c>
      <c r="L61" s="1">
        <v>192</v>
      </c>
      <c r="M61" s="1">
        <v>0</v>
      </c>
      <c r="N61" s="1">
        <v>0</v>
      </c>
      <c r="O61" s="1">
        <v>0</v>
      </c>
      <c r="Q61" s="2" t="s">
        <v>51</v>
      </c>
      <c r="R61" s="6" t="s">
        <v>43</v>
      </c>
      <c r="S61" s="2" t="s">
        <v>25</v>
      </c>
      <c r="T61" s="3"/>
      <c r="V61" s="3"/>
      <c r="W61" s="2" t="s">
        <v>95</v>
      </c>
      <c r="X61"/>
      <c r="Y61"/>
    </row>
    <row r="62" spans="1:25" ht="41.25" customHeight="1" x14ac:dyDescent="0.25">
      <c r="A62" s="2" t="s">
        <v>38</v>
      </c>
      <c r="B62" s="5" t="s">
        <v>66</v>
      </c>
      <c r="C62" s="18" t="s">
        <v>23</v>
      </c>
      <c r="D62" s="18" t="s">
        <v>41</v>
      </c>
      <c r="E62" s="2" t="s">
        <v>334</v>
      </c>
      <c r="F62" s="1">
        <v>84</v>
      </c>
      <c r="G62" s="3">
        <v>46131</v>
      </c>
      <c r="H62" s="3"/>
      <c r="I62" s="3">
        <v>46145</v>
      </c>
      <c r="J62" s="1">
        <v>14</v>
      </c>
      <c r="K62" s="1">
        <v>0</v>
      </c>
      <c r="L62" s="1">
        <v>336</v>
      </c>
      <c r="M62" s="1">
        <v>500</v>
      </c>
      <c r="N62" s="1">
        <v>0</v>
      </c>
      <c r="O62" s="1">
        <v>0</v>
      </c>
      <c r="P62" s="1">
        <v>0</v>
      </c>
      <c r="Q62" s="2" t="s">
        <v>97</v>
      </c>
      <c r="R62" s="6" t="s">
        <v>335</v>
      </c>
      <c r="S62" s="2" t="s">
        <v>1317</v>
      </c>
      <c r="T62" s="3"/>
      <c r="V62" s="3"/>
      <c r="W62" s="2" t="s">
        <v>28</v>
      </c>
      <c r="X62"/>
      <c r="Y62"/>
    </row>
    <row r="63" spans="1:25" ht="41.25" customHeight="1" x14ac:dyDescent="0.25">
      <c r="A63" s="2" t="s">
        <v>38</v>
      </c>
      <c r="B63" s="5" t="s">
        <v>66</v>
      </c>
      <c r="C63" s="18"/>
      <c r="D63" s="18"/>
      <c r="E63" s="2" t="s">
        <v>238</v>
      </c>
      <c r="F63" s="1">
        <v>36</v>
      </c>
      <c r="G63" s="3">
        <v>46145</v>
      </c>
      <c r="H63" s="3"/>
      <c r="I63" s="3">
        <v>46155</v>
      </c>
      <c r="J63" s="1">
        <v>10</v>
      </c>
      <c r="K63" s="1">
        <v>0</v>
      </c>
      <c r="L63" s="1">
        <v>240</v>
      </c>
      <c r="M63" s="1">
        <v>1100</v>
      </c>
      <c r="N63" s="1">
        <v>90</v>
      </c>
      <c r="O63" s="1">
        <v>91</v>
      </c>
      <c r="P63" s="1">
        <v>150</v>
      </c>
      <c r="Q63" s="2" t="s">
        <v>89</v>
      </c>
      <c r="R63" s="6" t="s">
        <v>1140</v>
      </c>
      <c r="S63" s="2" t="s">
        <v>25</v>
      </c>
      <c r="T63" s="3">
        <v>46168</v>
      </c>
      <c r="U63" s="1">
        <v>1</v>
      </c>
      <c r="V63" s="3">
        <v>46172</v>
      </c>
      <c r="W63" s="2" t="s">
        <v>35</v>
      </c>
      <c r="X63"/>
      <c r="Y63"/>
    </row>
    <row r="64" spans="1:25" ht="41.25" customHeight="1" x14ac:dyDescent="0.25">
      <c r="A64" s="2" t="s">
        <v>38</v>
      </c>
      <c r="B64" s="5" t="s">
        <v>66</v>
      </c>
      <c r="C64" s="18"/>
      <c r="D64" s="18"/>
      <c r="E64" s="2" t="s">
        <v>1304</v>
      </c>
      <c r="F64" s="1">
        <v>1</v>
      </c>
      <c r="G64" s="3">
        <v>46155</v>
      </c>
      <c r="H64" s="3"/>
      <c r="I64" s="3">
        <v>46163</v>
      </c>
      <c r="J64" s="1">
        <v>8</v>
      </c>
      <c r="K64" s="1">
        <v>0</v>
      </c>
      <c r="L64" s="1">
        <v>192</v>
      </c>
      <c r="M64" s="1">
        <v>386</v>
      </c>
      <c r="N64" s="1">
        <v>93</v>
      </c>
      <c r="O64" s="1">
        <v>16</v>
      </c>
      <c r="P64" s="1">
        <v>409</v>
      </c>
      <c r="Q64" s="2" t="s">
        <v>51</v>
      </c>
      <c r="R64" s="6" t="s">
        <v>1305</v>
      </c>
      <c r="S64" s="2" t="s">
        <v>25</v>
      </c>
      <c r="T64" s="3"/>
      <c r="V64" s="3"/>
      <c r="W64" s="2" t="s">
        <v>104</v>
      </c>
      <c r="X64"/>
      <c r="Y64"/>
    </row>
    <row r="65" spans="1:25" ht="41.25" customHeight="1" x14ac:dyDescent="0.25">
      <c r="A65" s="2" t="s">
        <v>38</v>
      </c>
      <c r="B65" s="5" t="s">
        <v>66</v>
      </c>
      <c r="C65" s="18"/>
      <c r="D65" s="18" t="s">
        <v>30</v>
      </c>
      <c r="E65" s="2" t="s">
        <v>1302</v>
      </c>
      <c r="F65" s="1">
        <v>1</v>
      </c>
      <c r="G65" s="3">
        <v>46163</v>
      </c>
      <c r="H65" s="3"/>
      <c r="I65" s="3">
        <v>46171</v>
      </c>
      <c r="J65" s="1">
        <v>8</v>
      </c>
      <c r="K65" s="1">
        <v>0</v>
      </c>
      <c r="L65" s="1">
        <v>192</v>
      </c>
      <c r="M65" s="1">
        <v>12</v>
      </c>
      <c r="N65" s="1">
        <v>10</v>
      </c>
      <c r="O65" s="1">
        <v>9</v>
      </c>
      <c r="P65" s="1">
        <v>1032</v>
      </c>
      <c r="Q65" s="2" t="s">
        <v>51</v>
      </c>
      <c r="R65" s="6" t="s">
        <v>1303</v>
      </c>
      <c r="S65" s="2" t="s">
        <v>25</v>
      </c>
      <c r="T65" s="3"/>
      <c r="V65" s="3"/>
      <c r="W65" s="2" t="s">
        <v>35</v>
      </c>
      <c r="X65"/>
      <c r="Y65"/>
    </row>
    <row r="66" spans="1:25" ht="41.25" customHeight="1" x14ac:dyDescent="0.25">
      <c r="A66" s="2" t="s">
        <v>38</v>
      </c>
      <c r="B66" s="5" t="s">
        <v>66</v>
      </c>
      <c r="C66" s="18"/>
      <c r="D66" s="18" t="s">
        <v>30</v>
      </c>
      <c r="E66" s="2" t="s">
        <v>1301</v>
      </c>
      <c r="F66" s="1">
        <v>1</v>
      </c>
      <c r="G66" s="3">
        <v>46171</v>
      </c>
      <c r="H66" s="3"/>
      <c r="I66" s="3">
        <v>46179</v>
      </c>
      <c r="J66" s="1">
        <v>8</v>
      </c>
      <c r="K66" s="1">
        <v>0</v>
      </c>
      <c r="L66" s="1">
        <v>192</v>
      </c>
      <c r="M66" s="1">
        <v>38</v>
      </c>
      <c r="N66" s="1">
        <v>83</v>
      </c>
      <c r="O66" s="1">
        <v>5</v>
      </c>
      <c r="P66" s="1">
        <v>1636</v>
      </c>
      <c r="Q66" s="2" t="s">
        <v>51</v>
      </c>
      <c r="R66" s="6" t="s">
        <v>43</v>
      </c>
      <c r="S66" s="2" t="s">
        <v>25</v>
      </c>
      <c r="T66" s="3"/>
      <c r="V66" s="3"/>
      <c r="W66" s="2" t="s">
        <v>29</v>
      </c>
      <c r="X66"/>
      <c r="Y66"/>
    </row>
    <row r="67" spans="1:25" ht="41.25" customHeight="1" x14ac:dyDescent="0.25">
      <c r="A67" s="2" t="s">
        <v>38</v>
      </c>
      <c r="B67" s="5" t="s">
        <v>66</v>
      </c>
      <c r="C67" s="18" t="s">
        <v>23</v>
      </c>
      <c r="D67" s="18"/>
      <c r="E67" s="2" t="s">
        <v>141</v>
      </c>
      <c r="F67" s="1">
        <v>97</v>
      </c>
      <c r="G67" s="3">
        <v>46179</v>
      </c>
      <c r="H67" s="3"/>
      <c r="I67" s="3">
        <v>46195</v>
      </c>
      <c r="J67" s="1">
        <v>16</v>
      </c>
      <c r="K67" s="1">
        <v>0</v>
      </c>
      <c r="L67" s="1">
        <v>384</v>
      </c>
      <c r="M67" s="1">
        <v>75</v>
      </c>
      <c r="N67" s="1">
        <v>90</v>
      </c>
      <c r="O67" s="1">
        <v>6</v>
      </c>
      <c r="P67" s="1">
        <v>195</v>
      </c>
      <c r="Q67" s="2" t="s">
        <v>89</v>
      </c>
      <c r="R67" s="6" t="s">
        <v>1279</v>
      </c>
      <c r="S67" s="2" t="s">
        <v>1321</v>
      </c>
      <c r="T67" s="3">
        <v>46237</v>
      </c>
      <c r="U67" s="1">
        <v>1</v>
      </c>
      <c r="V67" s="3">
        <v>46241</v>
      </c>
      <c r="W67" s="2" t="s">
        <v>25</v>
      </c>
      <c r="X67"/>
      <c r="Y67"/>
    </row>
    <row r="68" spans="1:25" ht="41.25" customHeight="1" x14ac:dyDescent="0.25">
      <c r="A68" s="2" t="s">
        <v>38</v>
      </c>
      <c r="B68" s="5" t="s">
        <v>66</v>
      </c>
      <c r="C68" s="18"/>
      <c r="D68" s="18"/>
      <c r="E68" s="2" t="s">
        <v>1306</v>
      </c>
      <c r="F68" s="1">
        <v>5</v>
      </c>
      <c r="G68" s="3">
        <v>46195</v>
      </c>
      <c r="H68" s="3"/>
      <c r="I68" s="3">
        <v>46196</v>
      </c>
      <c r="J68" s="1">
        <v>1</v>
      </c>
      <c r="K68" s="1">
        <v>0</v>
      </c>
      <c r="L68" s="1">
        <v>24</v>
      </c>
      <c r="M68" s="1">
        <v>200</v>
      </c>
      <c r="N68" s="1">
        <v>0</v>
      </c>
      <c r="O68" s="1">
        <v>0</v>
      </c>
      <c r="P68" s="1">
        <v>0</v>
      </c>
      <c r="Q68" s="2" t="s">
        <v>53</v>
      </c>
      <c r="R68" s="6" t="s">
        <v>1307</v>
      </c>
      <c r="S68" s="2" t="s">
        <v>25</v>
      </c>
      <c r="T68" s="3"/>
      <c r="V68" s="3"/>
      <c r="W68" s="2" t="s">
        <v>95</v>
      </c>
      <c r="X68"/>
      <c r="Y68"/>
    </row>
    <row r="69" spans="1:25" ht="41.25" customHeight="1" x14ac:dyDescent="0.25">
      <c r="A69" s="2" t="s">
        <v>38</v>
      </c>
      <c r="B69" s="5" t="s">
        <v>66</v>
      </c>
      <c r="C69" s="18"/>
      <c r="D69" s="18"/>
      <c r="E69" s="2" t="s">
        <v>221</v>
      </c>
      <c r="G69" s="3">
        <v>46196</v>
      </c>
      <c r="H69" s="3"/>
      <c r="I69" s="3">
        <v>46204</v>
      </c>
      <c r="J69" s="1">
        <v>8</v>
      </c>
      <c r="K69" s="1">
        <v>0</v>
      </c>
      <c r="L69" s="1">
        <v>192</v>
      </c>
      <c r="M69" s="1">
        <v>0</v>
      </c>
      <c r="N69" s="1">
        <v>0</v>
      </c>
      <c r="O69" s="1">
        <v>0</v>
      </c>
      <c r="Q69" s="2" t="s">
        <v>51</v>
      </c>
      <c r="R69" s="6" t="s">
        <v>26</v>
      </c>
      <c r="S69" s="2" t="s">
        <v>25</v>
      </c>
      <c r="T69" s="3"/>
      <c r="V69" s="3"/>
      <c r="W69" s="2" t="s">
        <v>95</v>
      </c>
      <c r="X69"/>
      <c r="Y69"/>
    </row>
    <row r="70" spans="1:25" ht="41.25" customHeight="1" x14ac:dyDescent="0.25">
      <c r="A70" s="2" t="s">
        <v>38</v>
      </c>
      <c r="B70" s="5" t="s">
        <v>66</v>
      </c>
      <c r="C70" s="18"/>
      <c r="D70" s="18"/>
      <c r="E70" s="2" t="s">
        <v>221</v>
      </c>
      <c r="G70" s="3">
        <v>46204</v>
      </c>
      <c r="H70" s="3"/>
      <c r="I70" s="3">
        <v>46212</v>
      </c>
      <c r="J70" s="1">
        <v>8</v>
      </c>
      <c r="K70" s="1">
        <v>0</v>
      </c>
      <c r="L70" s="1">
        <v>192</v>
      </c>
      <c r="M70" s="1">
        <v>0</v>
      </c>
      <c r="N70" s="1">
        <v>0</v>
      </c>
      <c r="O70" s="1">
        <v>0</v>
      </c>
      <c r="Q70" s="2" t="s">
        <v>51</v>
      </c>
      <c r="R70" s="6" t="s">
        <v>26</v>
      </c>
      <c r="S70" s="2" t="s">
        <v>25</v>
      </c>
      <c r="T70" s="3"/>
      <c r="V70" s="3"/>
      <c r="W70" s="2" t="s">
        <v>95</v>
      </c>
      <c r="X70"/>
      <c r="Y70"/>
    </row>
    <row r="71" spans="1:25" ht="41.25" customHeight="1" x14ac:dyDescent="0.25">
      <c r="A71" s="2" t="s">
        <v>39</v>
      </c>
      <c r="B71" s="5" t="s">
        <v>67</v>
      </c>
      <c r="C71" s="18" t="s">
        <v>23</v>
      </c>
      <c r="D71" s="18" t="s">
        <v>41</v>
      </c>
      <c r="E71" s="2" t="s">
        <v>1405</v>
      </c>
      <c r="F71" s="1">
        <v>15</v>
      </c>
      <c r="G71" s="3">
        <v>46133</v>
      </c>
      <c r="H71" s="3"/>
      <c r="I71" s="3">
        <v>46144</v>
      </c>
      <c r="J71" s="1">
        <v>11</v>
      </c>
      <c r="K71" s="1">
        <v>0</v>
      </c>
      <c r="L71" s="1">
        <v>264</v>
      </c>
      <c r="M71" s="1">
        <v>1000</v>
      </c>
      <c r="N71" s="1">
        <v>0</v>
      </c>
      <c r="O71" s="1">
        <v>0</v>
      </c>
      <c r="P71" s="1">
        <v>0</v>
      </c>
      <c r="Q71" s="2" t="s">
        <v>54</v>
      </c>
      <c r="R71" s="6" t="s">
        <v>1206</v>
      </c>
      <c r="S71" s="2" t="s">
        <v>1406</v>
      </c>
      <c r="T71" s="3"/>
      <c r="V71" s="3"/>
      <c r="W71" s="2" t="s">
        <v>42</v>
      </c>
      <c r="X71"/>
      <c r="Y71"/>
    </row>
    <row r="72" spans="1:25" ht="41.25" customHeight="1" x14ac:dyDescent="0.25">
      <c r="A72" s="2" t="s">
        <v>39</v>
      </c>
      <c r="B72" s="5" t="s">
        <v>67</v>
      </c>
      <c r="C72" s="18"/>
      <c r="D72" s="18" t="s">
        <v>116</v>
      </c>
      <c r="E72" s="2" t="s">
        <v>1422</v>
      </c>
      <c r="F72" s="1">
        <v>19</v>
      </c>
      <c r="G72" s="3">
        <v>46133</v>
      </c>
      <c r="H72" s="3"/>
      <c r="I72" s="3">
        <v>46141</v>
      </c>
      <c r="J72" s="1">
        <v>8</v>
      </c>
      <c r="K72" s="1">
        <v>0</v>
      </c>
      <c r="L72" s="1">
        <v>192</v>
      </c>
      <c r="M72" s="1">
        <v>52</v>
      </c>
      <c r="N72" s="1">
        <v>10</v>
      </c>
      <c r="O72" s="1">
        <v>41</v>
      </c>
      <c r="P72" s="1">
        <v>2000</v>
      </c>
      <c r="Q72" s="2" t="s">
        <v>57</v>
      </c>
      <c r="R72" s="6" t="s">
        <v>1423</v>
      </c>
      <c r="S72" s="2" t="s">
        <v>1368</v>
      </c>
      <c r="T72" s="3"/>
      <c r="V72" s="3"/>
      <c r="W72" s="2" t="s">
        <v>24</v>
      </c>
      <c r="X72"/>
      <c r="Y72"/>
    </row>
    <row r="73" spans="1:25" ht="41.25" customHeight="1" x14ac:dyDescent="0.25">
      <c r="A73" s="2" t="s">
        <v>39</v>
      </c>
      <c r="B73" s="5" t="s">
        <v>67</v>
      </c>
      <c r="C73" s="18"/>
      <c r="D73" s="18"/>
      <c r="E73" s="2" t="s">
        <v>1499</v>
      </c>
      <c r="F73" s="1">
        <v>51</v>
      </c>
      <c r="G73" s="3">
        <v>46133</v>
      </c>
      <c r="H73" s="3"/>
      <c r="I73" s="3">
        <v>46143</v>
      </c>
      <c r="J73" s="1">
        <v>10</v>
      </c>
      <c r="K73" s="1">
        <v>0</v>
      </c>
      <c r="L73" s="1">
        <v>240</v>
      </c>
      <c r="M73" s="1">
        <v>272</v>
      </c>
      <c r="N73" s="1">
        <v>68</v>
      </c>
      <c r="O73" s="1">
        <v>76</v>
      </c>
      <c r="P73" s="1">
        <v>207</v>
      </c>
      <c r="Q73" s="2" t="s">
        <v>51</v>
      </c>
      <c r="R73" s="6" t="s">
        <v>1500</v>
      </c>
      <c r="S73" s="2" t="s">
        <v>25</v>
      </c>
      <c r="T73" s="3"/>
      <c r="V73" s="3"/>
      <c r="W73" s="2" t="s">
        <v>42</v>
      </c>
      <c r="X73"/>
      <c r="Y73"/>
    </row>
    <row r="74" spans="1:25" ht="41.25" customHeight="1" x14ac:dyDescent="0.25">
      <c r="A74" s="2" t="s">
        <v>39</v>
      </c>
      <c r="B74" s="5" t="s">
        <v>67</v>
      </c>
      <c r="C74" s="18"/>
      <c r="D74" s="18"/>
      <c r="E74" s="2" t="s">
        <v>307</v>
      </c>
      <c r="F74" s="1">
        <v>19</v>
      </c>
      <c r="G74" s="3">
        <v>46133</v>
      </c>
      <c r="H74" s="3"/>
      <c r="I74" s="3">
        <v>46141</v>
      </c>
      <c r="J74" s="1">
        <v>8</v>
      </c>
      <c r="K74" s="1">
        <v>0</v>
      </c>
      <c r="L74" s="1">
        <v>192</v>
      </c>
      <c r="M74" s="1">
        <v>658</v>
      </c>
      <c r="N74" s="1">
        <v>3</v>
      </c>
      <c r="O74" s="1">
        <v>496</v>
      </c>
      <c r="P74" s="1">
        <v>79</v>
      </c>
      <c r="Q74" s="2" t="s">
        <v>58</v>
      </c>
      <c r="R74" s="6" t="s">
        <v>214</v>
      </c>
      <c r="S74" s="2" t="s">
        <v>1358</v>
      </c>
      <c r="T74" s="3"/>
      <c r="V74" s="3"/>
      <c r="W74" s="2" t="s">
        <v>24</v>
      </c>
      <c r="X74"/>
      <c r="Y74"/>
    </row>
    <row r="75" spans="1:25" ht="41.25" customHeight="1" x14ac:dyDescent="0.25">
      <c r="A75" s="2" t="s">
        <v>39</v>
      </c>
      <c r="B75" s="5" t="s">
        <v>67</v>
      </c>
      <c r="C75" s="18"/>
      <c r="D75" s="18"/>
      <c r="E75" s="2" t="s">
        <v>1499</v>
      </c>
      <c r="F75" s="1">
        <v>51</v>
      </c>
      <c r="G75" s="3">
        <v>46133</v>
      </c>
      <c r="H75" s="3"/>
      <c r="I75" s="3">
        <v>46148</v>
      </c>
      <c r="J75" s="1">
        <v>15</v>
      </c>
      <c r="K75" s="1">
        <v>0</v>
      </c>
      <c r="L75" s="1">
        <v>360</v>
      </c>
      <c r="M75" s="1">
        <v>272</v>
      </c>
      <c r="N75" s="1">
        <v>68</v>
      </c>
      <c r="O75" s="1">
        <v>76</v>
      </c>
      <c r="P75" s="1">
        <v>207</v>
      </c>
      <c r="Q75" s="2" t="s">
        <v>98</v>
      </c>
      <c r="R75" s="6" t="s">
        <v>1501</v>
      </c>
      <c r="S75" s="2" t="s">
        <v>25</v>
      </c>
      <c r="T75" s="3"/>
      <c r="V75" s="3"/>
      <c r="W75" s="2" t="s">
        <v>42</v>
      </c>
      <c r="X75"/>
      <c r="Y75"/>
    </row>
    <row r="76" spans="1:25" ht="41.25" customHeight="1" x14ac:dyDescent="0.25">
      <c r="A76" s="2" t="s">
        <v>39</v>
      </c>
      <c r="B76" s="5" t="s">
        <v>67</v>
      </c>
      <c r="C76" s="18"/>
      <c r="D76" s="18"/>
      <c r="E76" s="2" t="s">
        <v>1502</v>
      </c>
      <c r="F76" s="1">
        <v>6</v>
      </c>
      <c r="G76" s="3">
        <v>46133</v>
      </c>
      <c r="H76" s="3"/>
      <c r="I76" s="3">
        <v>46144</v>
      </c>
      <c r="J76" s="1">
        <v>11</v>
      </c>
      <c r="K76" s="1">
        <v>0</v>
      </c>
      <c r="L76" s="1">
        <v>264</v>
      </c>
      <c r="M76" s="1">
        <v>1000</v>
      </c>
      <c r="N76" s="1">
        <v>0</v>
      </c>
      <c r="O76" s="1">
        <v>0</v>
      </c>
      <c r="P76" s="1">
        <v>0</v>
      </c>
      <c r="Q76" s="2" t="s">
        <v>54</v>
      </c>
      <c r="R76" s="6" t="s">
        <v>1503</v>
      </c>
      <c r="S76" s="2" t="s">
        <v>1504</v>
      </c>
      <c r="T76" s="3"/>
      <c r="V76" s="3"/>
      <c r="W76" s="2" t="s">
        <v>1487</v>
      </c>
      <c r="X76"/>
      <c r="Y76"/>
    </row>
    <row r="77" spans="1:25" ht="41.25" customHeight="1" x14ac:dyDescent="0.25">
      <c r="A77" s="2" t="s">
        <v>39</v>
      </c>
      <c r="B77" s="5" t="s">
        <v>67</v>
      </c>
      <c r="C77" s="18"/>
      <c r="D77" s="18"/>
      <c r="E77" s="2" t="s">
        <v>1480</v>
      </c>
      <c r="F77" s="1">
        <v>51</v>
      </c>
      <c r="G77" s="3">
        <v>46133</v>
      </c>
      <c r="H77" s="3"/>
      <c r="I77" s="3">
        <v>46139</v>
      </c>
      <c r="J77" s="1">
        <v>6</v>
      </c>
      <c r="K77" s="1">
        <v>0</v>
      </c>
      <c r="L77" s="1">
        <v>144</v>
      </c>
      <c r="M77" s="1">
        <v>991</v>
      </c>
      <c r="N77" s="1">
        <v>0</v>
      </c>
      <c r="O77" s="1">
        <v>0</v>
      </c>
      <c r="P77" s="1">
        <v>344</v>
      </c>
      <c r="Q77" s="2" t="s">
        <v>227</v>
      </c>
      <c r="R77" s="6" t="s">
        <v>1505</v>
      </c>
      <c r="S77" s="2" t="s">
        <v>25</v>
      </c>
      <c r="T77" s="3"/>
      <c r="V77" s="3"/>
      <c r="W77" s="2" t="s">
        <v>95</v>
      </c>
      <c r="X77"/>
      <c r="Y77"/>
    </row>
    <row r="78" spans="1:25" ht="41.25" customHeight="1" x14ac:dyDescent="0.25">
      <c r="A78" s="2" t="s">
        <v>39</v>
      </c>
      <c r="B78" s="5" t="s">
        <v>67</v>
      </c>
      <c r="C78" s="18"/>
      <c r="D78" s="18"/>
      <c r="E78" s="2" t="s">
        <v>1506</v>
      </c>
      <c r="F78" s="1">
        <v>6</v>
      </c>
      <c r="G78" s="3">
        <v>46133</v>
      </c>
      <c r="H78" s="3"/>
      <c r="I78" s="3">
        <v>46144</v>
      </c>
      <c r="J78" s="1">
        <v>11</v>
      </c>
      <c r="K78" s="1">
        <v>0</v>
      </c>
      <c r="L78" s="1">
        <v>264</v>
      </c>
      <c r="M78" s="1">
        <v>1000</v>
      </c>
      <c r="N78" s="1">
        <v>0</v>
      </c>
      <c r="O78" s="1">
        <v>0</v>
      </c>
      <c r="P78" s="1">
        <v>0</v>
      </c>
      <c r="Q78" s="2" t="s">
        <v>54</v>
      </c>
      <c r="R78" s="6" t="s">
        <v>1503</v>
      </c>
      <c r="S78" s="2" t="s">
        <v>1507</v>
      </c>
      <c r="T78" s="3"/>
      <c r="V78" s="3"/>
      <c r="W78" s="2" t="s">
        <v>42</v>
      </c>
      <c r="X78"/>
      <c r="Y78"/>
    </row>
    <row r="79" spans="1:25" ht="41.25" customHeight="1" x14ac:dyDescent="0.25">
      <c r="A79" s="2" t="s">
        <v>39</v>
      </c>
      <c r="B79" s="5" t="s">
        <v>67</v>
      </c>
      <c r="C79" s="18"/>
      <c r="D79" s="18"/>
      <c r="E79" s="2" t="s">
        <v>1508</v>
      </c>
      <c r="G79" s="3">
        <v>46133</v>
      </c>
      <c r="H79" s="3"/>
      <c r="I79" s="3">
        <v>46144</v>
      </c>
      <c r="J79" s="1">
        <v>11</v>
      </c>
      <c r="K79" s="1">
        <v>0</v>
      </c>
      <c r="L79" s="1">
        <v>264</v>
      </c>
      <c r="M79" s="1">
        <v>130</v>
      </c>
      <c r="N79" s="1">
        <v>22</v>
      </c>
      <c r="O79" s="1">
        <v>88</v>
      </c>
      <c r="P79" s="1">
        <v>315</v>
      </c>
      <c r="Q79" s="2" t="s">
        <v>103</v>
      </c>
      <c r="R79" s="6" t="s">
        <v>1509</v>
      </c>
      <c r="S79" s="2" t="s">
        <v>25</v>
      </c>
      <c r="T79" s="3"/>
      <c r="V79" s="3"/>
      <c r="W79" s="2" t="s">
        <v>42</v>
      </c>
      <c r="X79"/>
      <c r="Y79"/>
    </row>
    <row r="80" spans="1:25" ht="41.25" customHeight="1" x14ac:dyDescent="0.25">
      <c r="A80" s="2" t="s">
        <v>39</v>
      </c>
      <c r="B80" s="5" t="s">
        <v>67</v>
      </c>
      <c r="C80" s="18"/>
      <c r="D80" s="18"/>
      <c r="E80" s="2" t="s">
        <v>1510</v>
      </c>
      <c r="F80" s="1">
        <v>2</v>
      </c>
      <c r="G80" s="3">
        <v>46133</v>
      </c>
      <c r="H80" s="3"/>
      <c r="I80" s="3">
        <v>46141</v>
      </c>
      <c r="J80" s="1">
        <v>8</v>
      </c>
      <c r="K80" s="1">
        <v>0</v>
      </c>
      <c r="L80" s="1">
        <v>192</v>
      </c>
      <c r="Q80" s="2" t="s">
        <v>61</v>
      </c>
      <c r="R80" s="6" t="s">
        <v>1511</v>
      </c>
      <c r="S80" s="2" t="s">
        <v>1512</v>
      </c>
      <c r="T80" s="3"/>
      <c r="V80" s="3"/>
      <c r="W80" s="2" t="s">
        <v>1487</v>
      </c>
      <c r="X80"/>
      <c r="Y80"/>
    </row>
    <row r="81" spans="1:25" ht="41.25" customHeight="1" x14ac:dyDescent="0.25">
      <c r="A81" s="2" t="s">
        <v>39</v>
      </c>
      <c r="B81" s="5" t="s">
        <v>159</v>
      </c>
      <c r="C81" s="18" t="s">
        <v>23</v>
      </c>
      <c r="D81" s="18" t="s">
        <v>41</v>
      </c>
      <c r="E81" s="2" t="s">
        <v>1190</v>
      </c>
      <c r="F81" s="1">
        <v>105</v>
      </c>
      <c r="G81" s="3">
        <v>46130</v>
      </c>
      <c r="H81" s="3"/>
      <c r="I81" s="3">
        <v>46135</v>
      </c>
      <c r="J81" s="1">
        <v>5</v>
      </c>
      <c r="K81" s="1">
        <v>0</v>
      </c>
      <c r="L81" s="1">
        <v>120</v>
      </c>
      <c r="M81" s="1">
        <v>157</v>
      </c>
      <c r="N81" s="1">
        <v>91</v>
      </c>
      <c r="O81" s="1">
        <v>12</v>
      </c>
      <c r="P81" s="1">
        <v>2279</v>
      </c>
      <c r="Q81" s="2" t="s">
        <v>51</v>
      </c>
      <c r="R81" s="6" t="s">
        <v>43</v>
      </c>
      <c r="S81" s="2" t="s">
        <v>25</v>
      </c>
      <c r="T81" s="3"/>
      <c r="V81" s="3"/>
      <c r="W81" s="2" t="s">
        <v>35</v>
      </c>
      <c r="X81"/>
      <c r="Y81"/>
    </row>
    <row r="82" spans="1:25" ht="41.25" customHeight="1" x14ac:dyDescent="0.25">
      <c r="A82" s="2" t="s">
        <v>39</v>
      </c>
      <c r="B82" s="5" t="s">
        <v>159</v>
      </c>
      <c r="C82" s="18" t="s">
        <v>23</v>
      </c>
      <c r="D82" s="18" t="s">
        <v>116</v>
      </c>
      <c r="E82" s="2" t="s">
        <v>1153</v>
      </c>
      <c r="F82" s="1">
        <v>105</v>
      </c>
      <c r="G82" s="3">
        <v>46135</v>
      </c>
      <c r="H82" s="3"/>
      <c r="I82" s="3">
        <v>46143</v>
      </c>
      <c r="J82" s="1">
        <v>8</v>
      </c>
      <c r="K82" s="1">
        <v>0</v>
      </c>
      <c r="L82" s="1">
        <v>192</v>
      </c>
      <c r="M82" s="1">
        <v>184</v>
      </c>
      <c r="N82" s="1">
        <v>97</v>
      </c>
      <c r="O82" s="1">
        <v>5</v>
      </c>
      <c r="P82" s="1">
        <v>1355</v>
      </c>
      <c r="Q82" s="2" t="s">
        <v>51</v>
      </c>
      <c r="R82" s="6" t="s">
        <v>43</v>
      </c>
      <c r="S82" s="2" t="s">
        <v>25</v>
      </c>
      <c r="T82" s="3"/>
      <c r="V82" s="3"/>
      <c r="W82" s="2" t="s">
        <v>29</v>
      </c>
      <c r="X82"/>
      <c r="Y82"/>
    </row>
    <row r="83" spans="1:25" ht="41.25" customHeight="1" x14ac:dyDescent="0.25">
      <c r="A83" s="2" t="s">
        <v>39</v>
      </c>
      <c r="B83" s="5" t="s">
        <v>159</v>
      </c>
      <c r="C83" s="18"/>
      <c r="D83" s="18"/>
      <c r="E83" s="2" t="s">
        <v>221</v>
      </c>
      <c r="G83" s="3">
        <v>46143</v>
      </c>
      <c r="H83" s="3"/>
      <c r="I83" s="3">
        <v>46151</v>
      </c>
      <c r="J83" s="1">
        <v>8</v>
      </c>
      <c r="K83" s="1">
        <v>0</v>
      </c>
      <c r="L83" s="1">
        <v>192</v>
      </c>
      <c r="M83" s="1">
        <v>0</v>
      </c>
      <c r="N83" s="1">
        <v>0</v>
      </c>
      <c r="O83" s="1">
        <v>0</v>
      </c>
      <c r="Q83" s="2" t="s">
        <v>51</v>
      </c>
      <c r="R83" s="6" t="s">
        <v>43</v>
      </c>
      <c r="S83" s="2" t="s">
        <v>25</v>
      </c>
      <c r="T83" s="3"/>
      <c r="V83" s="3"/>
      <c r="W83" s="2" t="s">
        <v>95</v>
      </c>
      <c r="X83"/>
      <c r="Y83"/>
    </row>
    <row r="84" spans="1:25" ht="41.25" customHeight="1" x14ac:dyDescent="0.25">
      <c r="A84" s="2" t="s">
        <v>39</v>
      </c>
      <c r="B84" s="5" t="s">
        <v>159</v>
      </c>
      <c r="C84" s="18"/>
      <c r="D84" s="18"/>
      <c r="E84" s="2" t="s">
        <v>221</v>
      </c>
      <c r="G84" s="3">
        <v>46151</v>
      </c>
      <c r="H84" s="3"/>
      <c r="I84" s="3">
        <v>46159</v>
      </c>
      <c r="J84" s="1">
        <v>8</v>
      </c>
      <c r="K84" s="1">
        <v>0</v>
      </c>
      <c r="L84" s="1">
        <v>192</v>
      </c>
      <c r="M84" s="1">
        <v>0</v>
      </c>
      <c r="N84" s="1">
        <v>0</v>
      </c>
      <c r="O84" s="1">
        <v>0</v>
      </c>
      <c r="Q84" s="2" t="s">
        <v>51</v>
      </c>
      <c r="R84" s="6" t="s">
        <v>43</v>
      </c>
      <c r="S84" s="2" t="s">
        <v>25</v>
      </c>
      <c r="T84" s="3"/>
      <c r="V84" s="3"/>
      <c r="W84" s="2" t="s">
        <v>95</v>
      </c>
      <c r="X84"/>
      <c r="Y84"/>
    </row>
    <row r="85" spans="1:25" ht="41.25" customHeight="1" x14ac:dyDescent="0.25">
      <c r="A85" s="2" t="s">
        <v>39</v>
      </c>
      <c r="B85" s="5" t="s">
        <v>159</v>
      </c>
      <c r="C85" s="18"/>
      <c r="D85" s="18" t="s">
        <v>30</v>
      </c>
      <c r="E85" s="2" t="s">
        <v>1260</v>
      </c>
      <c r="F85" s="1">
        <v>716</v>
      </c>
      <c r="G85" s="3">
        <v>46159</v>
      </c>
      <c r="H85" s="3"/>
      <c r="I85" s="3">
        <v>46167</v>
      </c>
      <c r="J85" s="1">
        <v>8</v>
      </c>
      <c r="K85" s="1">
        <v>0</v>
      </c>
      <c r="L85" s="1">
        <v>192</v>
      </c>
      <c r="N85" s="1">
        <v>0</v>
      </c>
      <c r="O85" s="1">
        <v>0</v>
      </c>
      <c r="P85" s="1">
        <v>0</v>
      </c>
      <c r="Q85" s="2" t="s">
        <v>97</v>
      </c>
      <c r="R85" s="6" t="s">
        <v>1261</v>
      </c>
      <c r="S85" s="2" t="s">
        <v>1332</v>
      </c>
      <c r="T85" s="3"/>
      <c r="V85" s="3"/>
      <c r="W85" s="2" t="s">
        <v>1256</v>
      </c>
      <c r="X85"/>
      <c r="Y85"/>
    </row>
    <row r="86" spans="1:25" ht="41.25" customHeight="1" x14ac:dyDescent="0.25">
      <c r="A86" s="2" t="s">
        <v>39</v>
      </c>
      <c r="B86" s="5" t="s">
        <v>159</v>
      </c>
      <c r="C86" s="18"/>
      <c r="D86" s="18" t="s">
        <v>30</v>
      </c>
      <c r="E86" s="2" t="s">
        <v>1262</v>
      </c>
      <c r="F86" s="1">
        <v>29</v>
      </c>
      <c r="G86" s="3">
        <v>46167</v>
      </c>
      <c r="H86" s="3"/>
      <c r="I86" s="3">
        <v>46170</v>
      </c>
      <c r="J86" s="1">
        <v>3</v>
      </c>
      <c r="K86" s="1">
        <v>0</v>
      </c>
      <c r="L86" s="1">
        <v>72</v>
      </c>
      <c r="M86" s="1">
        <v>800</v>
      </c>
      <c r="N86" s="1">
        <v>0</v>
      </c>
      <c r="O86" s="1">
        <v>20</v>
      </c>
      <c r="P86" s="1">
        <v>0</v>
      </c>
      <c r="Q86" s="2" t="s">
        <v>53</v>
      </c>
      <c r="R86" s="6" t="s">
        <v>1263</v>
      </c>
      <c r="S86" s="2" t="s">
        <v>25</v>
      </c>
      <c r="T86" s="3"/>
      <c r="V86" s="3"/>
      <c r="W86" s="2" t="s">
        <v>1256</v>
      </c>
      <c r="X86"/>
      <c r="Y86"/>
    </row>
    <row r="87" spans="1:25" ht="41.25" customHeight="1" x14ac:dyDescent="0.25">
      <c r="A87" s="2" t="s">
        <v>39</v>
      </c>
      <c r="B87" s="5" t="s">
        <v>159</v>
      </c>
      <c r="C87" s="18"/>
      <c r="D87" s="18"/>
      <c r="E87" s="2" t="s">
        <v>1222</v>
      </c>
      <c r="F87" s="1">
        <v>4</v>
      </c>
      <c r="G87" s="3">
        <v>46170</v>
      </c>
      <c r="H87" s="3"/>
      <c r="I87" s="3">
        <v>46180</v>
      </c>
      <c r="J87" s="1">
        <v>10</v>
      </c>
      <c r="K87" s="1">
        <v>0</v>
      </c>
      <c r="L87" s="1">
        <v>240</v>
      </c>
      <c r="M87" s="1">
        <v>250</v>
      </c>
      <c r="N87" s="1">
        <v>98</v>
      </c>
      <c r="O87" s="1">
        <v>17</v>
      </c>
      <c r="P87" s="1">
        <v>548</v>
      </c>
      <c r="Q87" s="2" t="s">
        <v>89</v>
      </c>
      <c r="R87" s="6" t="s">
        <v>1223</v>
      </c>
      <c r="S87" s="2" t="s">
        <v>25</v>
      </c>
      <c r="T87" s="3">
        <v>46180</v>
      </c>
      <c r="U87" s="1">
        <v>1</v>
      </c>
      <c r="V87" s="3">
        <v>46184</v>
      </c>
      <c r="W87" s="2" t="s">
        <v>35</v>
      </c>
      <c r="X87"/>
      <c r="Y87"/>
    </row>
    <row r="88" spans="1:25" ht="41.25" customHeight="1" x14ac:dyDescent="0.25">
      <c r="A88" s="2" t="s">
        <v>39</v>
      </c>
      <c r="B88" s="5" t="s">
        <v>159</v>
      </c>
      <c r="C88" s="18"/>
      <c r="D88" s="18" t="s">
        <v>30</v>
      </c>
      <c r="E88" s="2" t="s">
        <v>1264</v>
      </c>
      <c r="F88" s="1">
        <v>88</v>
      </c>
      <c r="G88" s="3">
        <v>46180</v>
      </c>
      <c r="H88" s="3"/>
      <c r="I88" s="3">
        <v>46183</v>
      </c>
      <c r="J88" s="1">
        <v>3</v>
      </c>
      <c r="K88" s="1">
        <v>0</v>
      </c>
      <c r="L88" s="1">
        <v>72</v>
      </c>
      <c r="M88" s="1">
        <v>200</v>
      </c>
      <c r="N88" s="1">
        <v>0</v>
      </c>
      <c r="O88" s="1">
        <v>10</v>
      </c>
      <c r="P88" s="1">
        <v>0</v>
      </c>
      <c r="Q88" s="2" t="s">
        <v>53</v>
      </c>
      <c r="R88" s="6" t="s">
        <v>1265</v>
      </c>
      <c r="S88" s="2" t="s">
        <v>25</v>
      </c>
      <c r="T88" s="3"/>
      <c r="V88" s="3"/>
      <c r="W88" s="2" t="s">
        <v>1256</v>
      </c>
      <c r="X88"/>
      <c r="Y88"/>
    </row>
    <row r="89" spans="1:25" ht="41.25" customHeight="1" x14ac:dyDescent="0.25">
      <c r="A89" s="2" t="s">
        <v>39</v>
      </c>
      <c r="B89" s="5" t="s">
        <v>159</v>
      </c>
      <c r="C89" s="18"/>
      <c r="D89" s="18"/>
      <c r="E89" s="2" t="s">
        <v>1266</v>
      </c>
      <c r="G89" s="3">
        <v>46183</v>
      </c>
      <c r="H89" s="3"/>
      <c r="I89" s="3">
        <v>46193</v>
      </c>
      <c r="J89" s="1">
        <v>10</v>
      </c>
      <c r="K89" s="1">
        <v>0</v>
      </c>
      <c r="L89" s="1">
        <v>240</v>
      </c>
      <c r="M89" s="1">
        <v>4000</v>
      </c>
      <c r="N89" s="1">
        <v>0</v>
      </c>
      <c r="O89" s="1">
        <v>0</v>
      </c>
      <c r="P89" s="1">
        <v>0</v>
      </c>
      <c r="Q89" s="2" t="s">
        <v>227</v>
      </c>
      <c r="R89" s="6" t="s">
        <v>257</v>
      </c>
      <c r="S89" s="2" t="s">
        <v>25</v>
      </c>
      <c r="T89" s="3"/>
      <c r="V89" s="3"/>
      <c r="W89" s="2" t="s">
        <v>1256</v>
      </c>
      <c r="X89"/>
      <c r="Y89"/>
    </row>
    <row r="90" spans="1:25" ht="41.25" customHeight="1" x14ac:dyDescent="0.25">
      <c r="A90" s="2" t="s">
        <v>39</v>
      </c>
      <c r="B90" s="5" t="s">
        <v>159</v>
      </c>
      <c r="C90" s="18"/>
      <c r="D90" s="18"/>
      <c r="E90" s="2" t="s">
        <v>1267</v>
      </c>
      <c r="G90" s="3">
        <v>46193</v>
      </c>
      <c r="H90" s="3"/>
      <c r="I90" s="3">
        <v>46203</v>
      </c>
      <c r="J90" s="1">
        <v>10</v>
      </c>
      <c r="K90" s="1">
        <v>0</v>
      </c>
      <c r="L90" s="1">
        <v>240</v>
      </c>
      <c r="M90" s="1">
        <v>4000</v>
      </c>
      <c r="N90" s="1">
        <v>0</v>
      </c>
      <c r="O90" s="1">
        <v>0</v>
      </c>
      <c r="P90" s="1">
        <v>0</v>
      </c>
      <c r="Q90" s="2" t="s">
        <v>227</v>
      </c>
      <c r="R90" s="6" t="s">
        <v>257</v>
      </c>
      <c r="S90" s="2" t="s">
        <v>25</v>
      </c>
      <c r="T90" s="3"/>
      <c r="V90" s="3"/>
      <c r="W90" s="2" t="s">
        <v>1256</v>
      </c>
      <c r="X90"/>
      <c r="Y90"/>
    </row>
    <row r="91" spans="1:25" ht="41.25" customHeight="1" x14ac:dyDescent="0.25">
      <c r="A91" s="2" t="s">
        <v>39</v>
      </c>
      <c r="B91" s="5" t="s">
        <v>159</v>
      </c>
      <c r="C91" s="18"/>
      <c r="D91" s="18"/>
      <c r="E91" s="2" t="s">
        <v>1224</v>
      </c>
      <c r="F91" s="1">
        <v>4</v>
      </c>
      <c r="G91" s="3">
        <v>46203</v>
      </c>
      <c r="H91" s="3"/>
      <c r="I91" s="3">
        <v>46206</v>
      </c>
      <c r="J91" s="1">
        <v>3</v>
      </c>
      <c r="K91" s="1">
        <v>0</v>
      </c>
      <c r="L91" s="1">
        <v>72</v>
      </c>
      <c r="M91" s="1">
        <v>1000</v>
      </c>
      <c r="N91" s="1">
        <v>0</v>
      </c>
      <c r="O91" s="1">
        <v>0</v>
      </c>
      <c r="P91" s="1">
        <v>0</v>
      </c>
      <c r="Q91" s="2" t="s">
        <v>105</v>
      </c>
      <c r="R91" s="6" t="s">
        <v>1225</v>
      </c>
      <c r="S91" s="2" t="s">
        <v>25</v>
      </c>
      <c r="T91" s="3"/>
      <c r="V91" s="3"/>
      <c r="W91" s="2" t="s">
        <v>1256</v>
      </c>
      <c r="X91"/>
      <c r="Y91"/>
    </row>
    <row r="92" spans="1:25" ht="41.25" customHeight="1" x14ac:dyDescent="0.25">
      <c r="A92" s="2" t="s">
        <v>39</v>
      </c>
      <c r="B92" s="5" t="s">
        <v>159</v>
      </c>
      <c r="C92" s="18"/>
      <c r="D92" s="18"/>
      <c r="E92" s="2" t="s">
        <v>1386</v>
      </c>
      <c r="F92" s="1">
        <v>47</v>
      </c>
      <c r="G92" s="3">
        <v>46206</v>
      </c>
      <c r="H92" s="3"/>
      <c r="I92" s="3">
        <v>46216</v>
      </c>
      <c r="J92" s="1">
        <v>10</v>
      </c>
      <c r="K92" s="1">
        <v>0</v>
      </c>
      <c r="L92" s="1">
        <v>240</v>
      </c>
      <c r="M92" s="1">
        <v>1000</v>
      </c>
      <c r="P92" s="1">
        <v>4113</v>
      </c>
      <c r="Q92" s="2" t="s">
        <v>89</v>
      </c>
      <c r="R92" s="6" t="s">
        <v>37</v>
      </c>
      <c r="S92" s="2" t="s">
        <v>1387</v>
      </c>
      <c r="T92" s="3">
        <v>46252</v>
      </c>
      <c r="U92" s="1">
        <v>2</v>
      </c>
      <c r="V92" s="3">
        <v>46258</v>
      </c>
      <c r="W92" s="2" t="s">
        <v>25</v>
      </c>
      <c r="X92"/>
      <c r="Y92"/>
    </row>
    <row r="93" spans="1:25" ht="41.25" customHeight="1" x14ac:dyDescent="0.25">
      <c r="A93" s="2" t="s">
        <v>39</v>
      </c>
      <c r="B93" s="5" t="s">
        <v>68</v>
      </c>
      <c r="C93" s="18"/>
      <c r="D93" s="18" t="s">
        <v>41</v>
      </c>
      <c r="E93" s="2" t="s">
        <v>358</v>
      </c>
      <c r="F93" s="1">
        <v>5</v>
      </c>
      <c r="G93" s="3">
        <v>46130</v>
      </c>
      <c r="H93" s="3"/>
      <c r="I93" s="3">
        <v>46138</v>
      </c>
      <c r="J93" s="1">
        <v>8</v>
      </c>
      <c r="K93" s="1">
        <v>0</v>
      </c>
      <c r="L93" s="1">
        <v>192</v>
      </c>
      <c r="M93" s="1">
        <v>313</v>
      </c>
      <c r="N93" s="1">
        <v>94</v>
      </c>
      <c r="O93" s="1">
        <v>17</v>
      </c>
      <c r="P93" s="1">
        <v>177</v>
      </c>
      <c r="Q93" s="2" t="s">
        <v>51</v>
      </c>
      <c r="R93" s="6" t="s">
        <v>1513</v>
      </c>
      <c r="S93" s="2" t="s">
        <v>25</v>
      </c>
      <c r="T93" s="3"/>
      <c r="V93" s="3"/>
      <c r="W93" s="2" t="s">
        <v>25</v>
      </c>
      <c r="X93"/>
      <c r="Y93"/>
    </row>
    <row r="94" spans="1:25" ht="41.25" customHeight="1" x14ac:dyDescent="0.25">
      <c r="A94" s="2" t="s">
        <v>39</v>
      </c>
      <c r="B94" s="5" t="s">
        <v>68</v>
      </c>
      <c r="C94" s="18" t="s">
        <v>23</v>
      </c>
      <c r="D94" s="18" t="s">
        <v>1448</v>
      </c>
      <c r="E94" s="2" t="s">
        <v>242</v>
      </c>
      <c r="F94" s="1">
        <v>51</v>
      </c>
      <c r="G94" s="3">
        <v>46138</v>
      </c>
      <c r="H94" s="3"/>
      <c r="I94" s="3">
        <v>46158</v>
      </c>
      <c r="J94" s="1">
        <v>20</v>
      </c>
      <c r="K94" s="1">
        <v>0</v>
      </c>
      <c r="L94" s="1">
        <v>480</v>
      </c>
      <c r="M94" s="1">
        <v>342</v>
      </c>
      <c r="N94" s="1">
        <v>54</v>
      </c>
      <c r="O94" s="1">
        <v>129</v>
      </c>
      <c r="P94" s="1">
        <v>819</v>
      </c>
      <c r="Q94" s="2" t="s">
        <v>92</v>
      </c>
      <c r="R94" s="6" t="s">
        <v>1181</v>
      </c>
      <c r="S94" s="2" t="s">
        <v>25</v>
      </c>
      <c r="T94" s="3"/>
      <c r="V94" s="3"/>
      <c r="W94" s="2" t="s">
        <v>25</v>
      </c>
      <c r="X94"/>
      <c r="Y94"/>
    </row>
    <row r="95" spans="1:25" ht="41.25" customHeight="1" x14ac:dyDescent="0.25">
      <c r="A95" s="2" t="s">
        <v>39</v>
      </c>
      <c r="B95" s="5" t="s">
        <v>68</v>
      </c>
      <c r="C95" s="18"/>
      <c r="D95" s="18"/>
      <c r="E95" s="2" t="s">
        <v>219</v>
      </c>
      <c r="G95" s="3">
        <v>46158</v>
      </c>
      <c r="H95" s="3"/>
      <c r="I95" s="3">
        <v>46166</v>
      </c>
      <c r="J95" s="1">
        <v>8</v>
      </c>
      <c r="K95" s="1">
        <v>0</v>
      </c>
      <c r="L95" s="1">
        <v>192</v>
      </c>
      <c r="M95" s="1">
        <v>0</v>
      </c>
      <c r="N95" s="1">
        <v>0</v>
      </c>
      <c r="O95" s="1">
        <v>0</v>
      </c>
      <c r="Q95" s="2" t="s">
        <v>51</v>
      </c>
      <c r="R95" s="6" t="s">
        <v>43</v>
      </c>
      <c r="S95" s="2" t="s">
        <v>25</v>
      </c>
      <c r="T95" s="3"/>
      <c r="V95" s="3"/>
      <c r="W95" s="2" t="s">
        <v>95</v>
      </c>
      <c r="X95"/>
      <c r="Y95"/>
    </row>
    <row r="96" spans="1:25" ht="41.25" customHeight="1" x14ac:dyDescent="0.25">
      <c r="A96" s="2" t="s">
        <v>39</v>
      </c>
      <c r="B96" s="5" t="s">
        <v>68</v>
      </c>
      <c r="C96" s="18"/>
      <c r="D96" s="18"/>
      <c r="E96" s="2" t="s">
        <v>219</v>
      </c>
      <c r="G96" s="3">
        <v>46166</v>
      </c>
      <c r="H96" s="3"/>
      <c r="I96" s="3">
        <v>46174</v>
      </c>
      <c r="J96" s="1">
        <v>8</v>
      </c>
      <c r="K96" s="1">
        <v>0</v>
      </c>
      <c r="L96" s="1">
        <v>192</v>
      </c>
      <c r="M96" s="1">
        <v>0</v>
      </c>
      <c r="N96" s="1">
        <v>0</v>
      </c>
      <c r="O96" s="1">
        <v>0</v>
      </c>
      <c r="Q96" s="2" t="s">
        <v>51</v>
      </c>
      <c r="R96" s="6" t="s">
        <v>43</v>
      </c>
      <c r="S96" s="2" t="s">
        <v>25</v>
      </c>
      <c r="T96" s="3"/>
      <c r="V96" s="3"/>
      <c r="W96" s="2" t="s">
        <v>95</v>
      </c>
      <c r="X96"/>
      <c r="Y96"/>
    </row>
    <row r="97" spans="1:25" ht="41.25" customHeight="1" x14ac:dyDescent="0.25">
      <c r="A97" s="2" t="s">
        <v>39</v>
      </c>
      <c r="B97" s="5" t="s">
        <v>68</v>
      </c>
      <c r="C97" s="18"/>
      <c r="D97" s="18"/>
      <c r="E97" s="2" t="s">
        <v>219</v>
      </c>
      <c r="G97" s="3">
        <v>46174</v>
      </c>
      <c r="H97" s="3"/>
      <c r="I97" s="3">
        <v>46182</v>
      </c>
      <c r="J97" s="1">
        <v>8</v>
      </c>
      <c r="K97" s="1">
        <v>0</v>
      </c>
      <c r="L97" s="1">
        <v>192</v>
      </c>
      <c r="M97" s="1">
        <v>0</v>
      </c>
      <c r="N97" s="1">
        <v>0</v>
      </c>
      <c r="O97" s="1">
        <v>0</v>
      </c>
      <c r="Q97" s="2" t="s">
        <v>51</v>
      </c>
      <c r="R97" s="6" t="s">
        <v>43</v>
      </c>
      <c r="S97" s="2" t="s">
        <v>25</v>
      </c>
      <c r="T97" s="3"/>
      <c r="V97" s="3"/>
      <c r="W97" s="2" t="s">
        <v>95</v>
      </c>
      <c r="X97"/>
      <c r="Y97"/>
    </row>
    <row r="98" spans="1:25" ht="41.25" customHeight="1" x14ac:dyDescent="0.25">
      <c r="A98" s="2" t="s">
        <v>39</v>
      </c>
      <c r="B98" s="5" t="s">
        <v>68</v>
      </c>
      <c r="C98" s="18"/>
      <c r="D98" s="18"/>
      <c r="E98" s="2" t="s">
        <v>219</v>
      </c>
      <c r="G98" s="3">
        <v>46182</v>
      </c>
      <c r="H98" s="3"/>
      <c r="I98" s="3">
        <v>46190</v>
      </c>
      <c r="J98" s="1">
        <v>8</v>
      </c>
      <c r="K98" s="1">
        <v>0</v>
      </c>
      <c r="L98" s="1">
        <v>192</v>
      </c>
      <c r="M98" s="1">
        <v>0</v>
      </c>
      <c r="N98" s="1">
        <v>0</v>
      </c>
      <c r="O98" s="1">
        <v>0</v>
      </c>
      <c r="Q98" s="2" t="s">
        <v>51</v>
      </c>
      <c r="R98" s="6" t="s">
        <v>43</v>
      </c>
      <c r="S98" s="2" t="s">
        <v>25</v>
      </c>
      <c r="T98" s="3"/>
      <c r="V98" s="3"/>
      <c r="W98" s="2" t="s">
        <v>95</v>
      </c>
      <c r="X98"/>
      <c r="Y98"/>
    </row>
    <row r="99" spans="1:25" ht="41.25" customHeight="1" x14ac:dyDescent="0.25">
      <c r="A99" s="2" t="s">
        <v>39</v>
      </c>
      <c r="B99" s="5" t="s">
        <v>68</v>
      </c>
      <c r="C99" s="18"/>
      <c r="D99" s="18"/>
      <c r="E99" s="2" t="s">
        <v>219</v>
      </c>
      <c r="G99" s="3">
        <v>46190</v>
      </c>
      <c r="H99" s="3"/>
      <c r="I99" s="3">
        <v>46198</v>
      </c>
      <c r="J99" s="1">
        <v>8</v>
      </c>
      <c r="K99" s="1">
        <v>0</v>
      </c>
      <c r="L99" s="1">
        <v>192</v>
      </c>
      <c r="M99" s="1">
        <v>0</v>
      </c>
      <c r="N99" s="1">
        <v>0</v>
      </c>
      <c r="O99" s="1">
        <v>0</v>
      </c>
      <c r="Q99" s="2" t="s">
        <v>51</v>
      </c>
      <c r="R99" s="6" t="s">
        <v>43</v>
      </c>
      <c r="S99" s="2" t="s">
        <v>25</v>
      </c>
      <c r="T99" s="3"/>
      <c r="V99" s="3"/>
      <c r="W99" s="2" t="s">
        <v>95</v>
      </c>
      <c r="X99"/>
      <c r="Y99"/>
    </row>
    <row r="100" spans="1:25" ht="41.25" customHeight="1" x14ac:dyDescent="0.25">
      <c r="A100" s="2" t="s">
        <v>39</v>
      </c>
      <c r="B100" s="5" t="s">
        <v>68</v>
      </c>
      <c r="C100" s="18"/>
      <c r="D100" s="18"/>
      <c r="E100" s="2" t="s">
        <v>219</v>
      </c>
      <c r="G100" s="3">
        <v>46198</v>
      </c>
      <c r="H100" s="3"/>
      <c r="I100" s="3">
        <v>46206</v>
      </c>
      <c r="J100" s="1">
        <v>8</v>
      </c>
      <c r="K100" s="1">
        <v>0</v>
      </c>
      <c r="L100" s="1">
        <v>192</v>
      </c>
      <c r="M100" s="1">
        <v>0</v>
      </c>
      <c r="N100" s="1">
        <v>0</v>
      </c>
      <c r="O100" s="1">
        <v>0</v>
      </c>
      <c r="Q100" s="2" t="s">
        <v>51</v>
      </c>
      <c r="R100" s="6" t="s">
        <v>43</v>
      </c>
      <c r="S100" s="2" t="s">
        <v>25</v>
      </c>
      <c r="T100" s="3"/>
      <c r="V100" s="3"/>
      <c r="W100" s="2" t="s">
        <v>95</v>
      </c>
      <c r="X100"/>
      <c r="Y100"/>
    </row>
    <row r="101" spans="1:25" ht="41.25" customHeight="1" x14ac:dyDescent="0.25">
      <c r="A101" s="2" t="s">
        <v>39</v>
      </c>
      <c r="B101" s="5" t="s">
        <v>68</v>
      </c>
      <c r="C101" s="18"/>
      <c r="D101" s="18"/>
      <c r="E101" s="2" t="s">
        <v>219</v>
      </c>
      <c r="G101" s="3">
        <v>46206</v>
      </c>
      <c r="H101" s="3"/>
      <c r="I101" s="3">
        <v>46211</v>
      </c>
      <c r="J101" s="1">
        <v>5</v>
      </c>
      <c r="K101" s="1">
        <v>0</v>
      </c>
      <c r="L101" s="1">
        <v>120</v>
      </c>
      <c r="M101" s="1">
        <v>0</v>
      </c>
      <c r="N101" s="1">
        <v>0</v>
      </c>
      <c r="O101" s="1">
        <v>0</v>
      </c>
      <c r="Q101" s="2" t="s">
        <v>49</v>
      </c>
      <c r="R101" s="6" t="s">
        <v>1283</v>
      </c>
      <c r="S101" s="2" t="s">
        <v>25</v>
      </c>
      <c r="T101" s="3"/>
      <c r="V101" s="3"/>
      <c r="W101" s="2" t="s">
        <v>95</v>
      </c>
      <c r="X101"/>
      <c r="Y101"/>
    </row>
    <row r="102" spans="1:25" ht="41.25" customHeight="1" x14ac:dyDescent="0.25">
      <c r="A102" s="2" t="s">
        <v>39</v>
      </c>
      <c r="B102" s="5" t="s">
        <v>68</v>
      </c>
      <c r="C102" s="18"/>
      <c r="D102" s="18"/>
      <c r="E102" s="2" t="s">
        <v>219</v>
      </c>
      <c r="G102" s="3">
        <v>46211</v>
      </c>
      <c r="H102" s="3"/>
      <c r="I102" s="3">
        <v>46216</v>
      </c>
      <c r="J102" s="1">
        <v>5</v>
      </c>
      <c r="K102" s="1">
        <v>0</v>
      </c>
      <c r="L102" s="1">
        <v>120</v>
      </c>
      <c r="M102" s="1">
        <v>0</v>
      </c>
      <c r="N102" s="1">
        <v>0</v>
      </c>
      <c r="O102" s="1">
        <v>0</v>
      </c>
      <c r="Q102" s="2" t="s">
        <v>49</v>
      </c>
      <c r="R102" s="6" t="s">
        <v>1283</v>
      </c>
      <c r="S102" s="2" t="s">
        <v>25</v>
      </c>
      <c r="T102" s="3"/>
      <c r="V102" s="3"/>
      <c r="W102" s="2" t="s">
        <v>95</v>
      </c>
      <c r="X102"/>
      <c r="Y102"/>
    </row>
    <row r="103" spans="1:25" ht="41.25" customHeight="1" x14ac:dyDescent="0.25">
      <c r="A103" s="2" t="s">
        <v>38</v>
      </c>
      <c r="B103" s="5" t="s">
        <v>69</v>
      </c>
      <c r="C103" s="18" t="s">
        <v>23</v>
      </c>
      <c r="D103" s="18" t="s">
        <v>41</v>
      </c>
      <c r="E103" s="2" t="s">
        <v>1169</v>
      </c>
      <c r="F103" s="1">
        <v>19</v>
      </c>
      <c r="G103" s="3">
        <v>46131</v>
      </c>
      <c r="H103" s="3"/>
      <c r="I103" s="3">
        <v>46139</v>
      </c>
      <c r="J103" s="1">
        <v>8</v>
      </c>
      <c r="K103" s="1">
        <v>0</v>
      </c>
      <c r="L103" s="1">
        <v>192</v>
      </c>
      <c r="M103" s="1">
        <v>236</v>
      </c>
      <c r="N103" s="1">
        <v>89</v>
      </c>
      <c r="O103" s="1">
        <v>21</v>
      </c>
      <c r="P103" s="1">
        <v>976</v>
      </c>
      <c r="Q103" s="2" t="s">
        <v>51</v>
      </c>
      <c r="R103" s="6" t="s">
        <v>43</v>
      </c>
      <c r="S103" s="2" t="s">
        <v>25</v>
      </c>
      <c r="T103" s="3"/>
      <c r="V103" s="3"/>
      <c r="W103" s="2" t="s">
        <v>27</v>
      </c>
      <c r="X103"/>
      <c r="Y103"/>
    </row>
    <row r="104" spans="1:25" ht="41.25" customHeight="1" x14ac:dyDescent="0.25">
      <c r="A104" s="2" t="s">
        <v>38</v>
      </c>
      <c r="B104" s="5" t="s">
        <v>69</v>
      </c>
      <c r="C104" s="18" t="s">
        <v>46</v>
      </c>
      <c r="D104" s="18" t="s">
        <v>1448</v>
      </c>
      <c r="E104" s="2" t="s">
        <v>1282</v>
      </c>
      <c r="F104" s="1">
        <v>19</v>
      </c>
      <c r="G104" s="3">
        <v>46139</v>
      </c>
      <c r="H104" s="3"/>
      <c r="I104" s="3">
        <v>46169</v>
      </c>
      <c r="J104" s="1">
        <v>30</v>
      </c>
      <c r="K104" s="1">
        <v>0</v>
      </c>
      <c r="L104" s="1">
        <v>720</v>
      </c>
      <c r="M104" s="1">
        <v>142</v>
      </c>
      <c r="N104" s="1">
        <v>89</v>
      </c>
      <c r="O104" s="1">
        <v>13</v>
      </c>
      <c r="P104" s="1">
        <v>81</v>
      </c>
      <c r="Q104" s="2" t="s">
        <v>109</v>
      </c>
      <c r="R104" s="6" t="s">
        <v>1334</v>
      </c>
      <c r="S104" s="2" t="s">
        <v>25</v>
      </c>
      <c r="T104" s="3"/>
      <c r="V104" s="3"/>
      <c r="W104" s="2" t="s">
        <v>29</v>
      </c>
      <c r="X104"/>
      <c r="Y104"/>
    </row>
    <row r="105" spans="1:25" ht="41.25" customHeight="1" x14ac:dyDescent="0.25">
      <c r="A105" s="2" t="s">
        <v>38</v>
      </c>
      <c r="B105" s="5" t="s">
        <v>69</v>
      </c>
      <c r="C105" s="18" t="s">
        <v>23</v>
      </c>
      <c r="D105" s="18"/>
      <c r="E105" s="2" t="s">
        <v>114</v>
      </c>
      <c r="F105" s="1">
        <v>45</v>
      </c>
      <c r="G105" s="3">
        <v>46169</v>
      </c>
      <c r="H105" s="3"/>
      <c r="I105" s="3">
        <v>46174</v>
      </c>
      <c r="J105" s="1">
        <v>5</v>
      </c>
      <c r="K105" s="1">
        <v>0</v>
      </c>
      <c r="L105" s="1">
        <v>120</v>
      </c>
      <c r="M105" s="1">
        <v>0</v>
      </c>
      <c r="N105" s="1">
        <v>0</v>
      </c>
      <c r="O105" s="1">
        <v>0</v>
      </c>
      <c r="Q105" s="2" t="s">
        <v>154</v>
      </c>
      <c r="R105" s="6" t="s">
        <v>122</v>
      </c>
      <c r="S105" s="2" t="s">
        <v>25</v>
      </c>
      <c r="T105" s="3"/>
      <c r="V105" s="3"/>
      <c r="W105" s="2" t="s">
        <v>95</v>
      </c>
      <c r="X105"/>
      <c r="Y105"/>
    </row>
    <row r="106" spans="1:25" ht="41.25" customHeight="1" x14ac:dyDescent="0.25">
      <c r="A106" s="2" t="s">
        <v>38</v>
      </c>
      <c r="B106" s="5" t="s">
        <v>69</v>
      </c>
      <c r="C106" s="18"/>
      <c r="D106" s="18"/>
      <c r="E106" s="2" t="s">
        <v>219</v>
      </c>
      <c r="G106" s="3">
        <v>46174</v>
      </c>
      <c r="H106" s="3"/>
      <c r="I106" s="3">
        <v>46181</v>
      </c>
      <c r="J106" s="1">
        <v>7</v>
      </c>
      <c r="K106" s="1">
        <v>0</v>
      </c>
      <c r="L106" s="1">
        <v>168</v>
      </c>
      <c r="M106" s="1">
        <v>0</v>
      </c>
      <c r="N106" s="1">
        <v>0</v>
      </c>
      <c r="O106" s="1">
        <v>0</v>
      </c>
      <c r="Q106" s="2" t="s">
        <v>51</v>
      </c>
      <c r="R106" s="6" t="s">
        <v>26</v>
      </c>
      <c r="S106" s="2" t="s">
        <v>25</v>
      </c>
      <c r="T106" s="3"/>
      <c r="V106" s="3"/>
      <c r="W106" s="2" t="s">
        <v>95</v>
      </c>
      <c r="X106"/>
      <c r="Y106"/>
    </row>
    <row r="107" spans="1:25" ht="41.25" customHeight="1" x14ac:dyDescent="0.25">
      <c r="A107" s="2" t="s">
        <v>38</v>
      </c>
      <c r="B107" s="5" t="s">
        <v>69</v>
      </c>
      <c r="C107" s="18"/>
      <c r="D107" s="18"/>
      <c r="E107" s="2" t="s">
        <v>219</v>
      </c>
      <c r="G107" s="3">
        <v>46181</v>
      </c>
      <c r="H107" s="3"/>
      <c r="I107" s="3">
        <v>46188</v>
      </c>
      <c r="J107" s="1">
        <v>7</v>
      </c>
      <c r="K107" s="1">
        <v>0</v>
      </c>
      <c r="L107" s="1">
        <v>168</v>
      </c>
      <c r="M107" s="1">
        <v>0</v>
      </c>
      <c r="N107" s="1">
        <v>0</v>
      </c>
      <c r="O107" s="1">
        <v>0</v>
      </c>
      <c r="Q107" s="2" t="s">
        <v>51</v>
      </c>
      <c r="R107" s="6" t="s">
        <v>26</v>
      </c>
      <c r="S107" s="2" t="s">
        <v>25</v>
      </c>
      <c r="T107" s="3"/>
      <c r="V107" s="3"/>
      <c r="W107" s="2" t="s">
        <v>95</v>
      </c>
      <c r="X107"/>
      <c r="Y107"/>
    </row>
    <row r="108" spans="1:25" ht="41.25" customHeight="1" x14ac:dyDescent="0.25">
      <c r="A108" s="2" t="s">
        <v>38</v>
      </c>
      <c r="B108" s="5" t="s">
        <v>69</v>
      </c>
      <c r="C108" s="18"/>
      <c r="D108" s="18"/>
      <c r="E108" s="2" t="s">
        <v>241</v>
      </c>
      <c r="G108" s="3">
        <v>46188</v>
      </c>
      <c r="H108" s="3"/>
      <c r="I108" s="3">
        <v>46195</v>
      </c>
      <c r="J108" s="1">
        <v>7</v>
      </c>
      <c r="K108" s="1">
        <v>0</v>
      </c>
      <c r="L108" s="1">
        <v>168</v>
      </c>
      <c r="M108" s="1">
        <v>0</v>
      </c>
      <c r="N108" s="1">
        <v>0</v>
      </c>
      <c r="O108" s="1">
        <v>0</v>
      </c>
      <c r="Q108" s="2" t="s">
        <v>51</v>
      </c>
      <c r="R108" s="6" t="s">
        <v>26</v>
      </c>
      <c r="S108" s="2" t="s">
        <v>25</v>
      </c>
      <c r="T108" s="3"/>
      <c r="V108" s="3"/>
      <c r="W108" s="2" t="s">
        <v>95</v>
      </c>
      <c r="X108"/>
      <c r="Y108"/>
    </row>
    <row r="109" spans="1:25" ht="41.25" customHeight="1" x14ac:dyDescent="0.25">
      <c r="A109" s="2" t="s">
        <v>38</v>
      </c>
      <c r="B109" s="5" t="s">
        <v>69</v>
      </c>
      <c r="C109" s="18"/>
      <c r="D109" s="18"/>
      <c r="E109" s="2" t="s">
        <v>246</v>
      </c>
      <c r="F109" s="1">
        <v>55</v>
      </c>
      <c r="G109" s="3">
        <v>46195</v>
      </c>
      <c r="H109" s="3"/>
      <c r="I109" s="3">
        <v>46205</v>
      </c>
      <c r="J109" s="1">
        <v>10</v>
      </c>
      <c r="K109" s="1">
        <v>0</v>
      </c>
      <c r="L109" s="1">
        <v>240</v>
      </c>
      <c r="Q109" s="2" t="s">
        <v>154</v>
      </c>
      <c r="R109" s="6" t="s">
        <v>247</v>
      </c>
      <c r="S109" s="2" t="s">
        <v>1336</v>
      </c>
      <c r="T109" s="3"/>
      <c r="V109" s="3"/>
      <c r="W109" s="2" t="s">
        <v>231</v>
      </c>
      <c r="X109"/>
      <c r="Y109"/>
    </row>
    <row r="110" spans="1:25" ht="41.25" customHeight="1" x14ac:dyDescent="0.25">
      <c r="A110" s="2" t="s">
        <v>38</v>
      </c>
      <c r="B110" s="5" t="s">
        <v>69</v>
      </c>
      <c r="C110" s="18" t="s">
        <v>23</v>
      </c>
      <c r="D110" s="18"/>
      <c r="E110" s="2" t="s">
        <v>279</v>
      </c>
      <c r="F110" s="1">
        <v>54</v>
      </c>
      <c r="G110" s="3">
        <v>46205</v>
      </c>
      <c r="H110" s="3"/>
      <c r="I110" s="3">
        <v>46217</v>
      </c>
      <c r="J110" s="1">
        <v>12</v>
      </c>
      <c r="K110" s="1">
        <v>0</v>
      </c>
      <c r="L110" s="1">
        <v>288</v>
      </c>
      <c r="M110" s="1">
        <v>40</v>
      </c>
      <c r="N110" s="1">
        <v>96</v>
      </c>
      <c r="O110" s="1">
        <v>4</v>
      </c>
      <c r="Q110" s="2" t="s">
        <v>48</v>
      </c>
      <c r="R110" s="6" t="s">
        <v>280</v>
      </c>
      <c r="S110" s="2" t="s">
        <v>1337</v>
      </c>
      <c r="T110" s="3"/>
      <c r="V110" s="3"/>
      <c r="W110" s="2" t="s">
        <v>29</v>
      </c>
      <c r="X110"/>
      <c r="Y110"/>
    </row>
    <row r="111" spans="1:25" ht="41.25" customHeight="1" x14ac:dyDescent="0.25">
      <c r="A111" s="2" t="s">
        <v>38</v>
      </c>
      <c r="B111" s="5" t="s">
        <v>69</v>
      </c>
      <c r="C111" s="18"/>
      <c r="D111" s="18"/>
      <c r="E111" s="2" t="s">
        <v>1002</v>
      </c>
      <c r="F111" s="1">
        <v>72</v>
      </c>
      <c r="G111" s="3">
        <v>46217</v>
      </c>
      <c r="H111" s="3"/>
      <c r="I111" s="3">
        <v>46227</v>
      </c>
      <c r="J111" s="1">
        <v>10</v>
      </c>
      <c r="K111" s="1">
        <v>0</v>
      </c>
      <c r="L111" s="1">
        <v>240</v>
      </c>
      <c r="M111" s="1">
        <v>1678000</v>
      </c>
      <c r="O111" s="1">
        <v>436</v>
      </c>
      <c r="P111" s="1">
        <v>0</v>
      </c>
      <c r="Q111" s="2" t="s">
        <v>50</v>
      </c>
      <c r="R111" s="6" t="s">
        <v>1286</v>
      </c>
      <c r="S111" s="2" t="s">
        <v>1338</v>
      </c>
      <c r="T111" s="3"/>
      <c r="V111" s="3"/>
      <c r="W111" s="2" t="s">
        <v>1275</v>
      </c>
      <c r="X111"/>
      <c r="Y111"/>
    </row>
    <row r="112" spans="1:25" ht="41.25" customHeight="1" x14ac:dyDescent="0.25">
      <c r="A112" s="2" t="s">
        <v>39</v>
      </c>
      <c r="B112" s="5" t="s">
        <v>70</v>
      </c>
      <c r="C112" s="18" t="s">
        <v>23</v>
      </c>
      <c r="D112" s="18" t="s">
        <v>41</v>
      </c>
      <c r="E112" s="2" t="s">
        <v>262</v>
      </c>
      <c r="F112" s="1">
        <v>47</v>
      </c>
      <c r="G112" s="3">
        <v>46097</v>
      </c>
      <c r="H112" s="3"/>
      <c r="I112" s="3">
        <v>46143</v>
      </c>
      <c r="J112" s="1">
        <v>46</v>
      </c>
      <c r="K112" s="1">
        <v>0</v>
      </c>
      <c r="L112" s="1">
        <v>1104</v>
      </c>
      <c r="M112" s="1">
        <v>43</v>
      </c>
      <c r="N112" s="1">
        <v>10</v>
      </c>
      <c r="O112" s="1">
        <v>32</v>
      </c>
      <c r="P112" s="1">
        <v>400</v>
      </c>
      <c r="Q112" s="2" t="s">
        <v>154</v>
      </c>
      <c r="R112" s="6" t="s">
        <v>1380</v>
      </c>
      <c r="S112" s="2" t="s">
        <v>1339</v>
      </c>
      <c r="T112" s="3">
        <v>46131</v>
      </c>
      <c r="U112" s="1">
        <v>3</v>
      </c>
      <c r="V112" s="3">
        <v>46140</v>
      </c>
      <c r="W112" s="2" t="s">
        <v>25</v>
      </c>
      <c r="X112"/>
      <c r="Y112"/>
    </row>
    <row r="113" spans="1:25" ht="41.25" customHeight="1" x14ac:dyDescent="0.25">
      <c r="A113" s="2" t="s">
        <v>39</v>
      </c>
      <c r="B113" s="5" t="s">
        <v>70</v>
      </c>
      <c r="C113" s="18" t="s">
        <v>23</v>
      </c>
      <c r="D113" s="18" t="s">
        <v>116</v>
      </c>
      <c r="E113" s="2" t="s">
        <v>329</v>
      </c>
      <c r="F113" s="1">
        <v>47</v>
      </c>
      <c r="G113" s="3">
        <v>46143</v>
      </c>
      <c r="H113" s="3"/>
      <c r="I113" s="3">
        <v>46153</v>
      </c>
      <c r="J113" s="1">
        <v>10</v>
      </c>
      <c r="K113" s="1">
        <v>0</v>
      </c>
      <c r="L113" s="1">
        <v>240</v>
      </c>
      <c r="M113" s="1">
        <v>800</v>
      </c>
      <c r="N113" s="1">
        <v>0</v>
      </c>
      <c r="O113" s="1">
        <v>0</v>
      </c>
      <c r="P113" s="1">
        <v>0</v>
      </c>
      <c r="Q113" s="2" t="s">
        <v>96</v>
      </c>
      <c r="R113" s="6" t="s">
        <v>1514</v>
      </c>
      <c r="S113" s="2" t="s">
        <v>286</v>
      </c>
      <c r="T113" s="3"/>
      <c r="V113" s="3"/>
      <c r="W113" s="2" t="s">
        <v>1227</v>
      </c>
      <c r="X113"/>
      <c r="Y113"/>
    </row>
    <row r="114" spans="1:25" ht="41.25" customHeight="1" x14ac:dyDescent="0.25">
      <c r="A114" s="2" t="s">
        <v>39</v>
      </c>
      <c r="B114" s="5" t="s">
        <v>70</v>
      </c>
      <c r="C114" s="18" t="s">
        <v>46</v>
      </c>
      <c r="D114" s="18" t="s">
        <v>30</v>
      </c>
      <c r="E114" s="2" t="s">
        <v>318</v>
      </c>
      <c r="F114" s="1">
        <v>47</v>
      </c>
      <c r="G114" s="3">
        <v>46153</v>
      </c>
      <c r="H114" s="3"/>
      <c r="I114" s="3">
        <v>46167</v>
      </c>
      <c r="J114" s="1">
        <v>14</v>
      </c>
      <c r="K114" s="1">
        <v>0</v>
      </c>
      <c r="L114" s="1">
        <v>336</v>
      </c>
      <c r="M114" s="1">
        <v>250</v>
      </c>
      <c r="N114" s="1">
        <v>0</v>
      </c>
      <c r="O114" s="1">
        <v>0</v>
      </c>
      <c r="P114" s="1">
        <v>0</v>
      </c>
      <c r="Q114" s="2" t="s">
        <v>96</v>
      </c>
      <c r="R114" s="6" t="s">
        <v>1515</v>
      </c>
      <c r="S114" s="2" t="s">
        <v>1322</v>
      </c>
      <c r="T114" s="3"/>
      <c r="V114" s="3"/>
      <c r="W114" s="2" t="s">
        <v>1256</v>
      </c>
      <c r="X114"/>
      <c r="Y114"/>
    </row>
    <row r="115" spans="1:25" ht="41.25" customHeight="1" x14ac:dyDescent="0.25">
      <c r="A115" s="2" t="s">
        <v>39</v>
      </c>
      <c r="B115" s="5" t="s">
        <v>70</v>
      </c>
      <c r="C115" s="18"/>
      <c r="D115" s="18"/>
      <c r="E115" s="2" t="s">
        <v>1401</v>
      </c>
      <c r="F115" s="1">
        <v>47</v>
      </c>
      <c r="G115" s="3">
        <v>46167</v>
      </c>
      <c r="H115" s="3"/>
      <c r="I115" s="3">
        <v>46177</v>
      </c>
      <c r="J115" s="1">
        <v>10</v>
      </c>
      <c r="K115" s="1">
        <v>0</v>
      </c>
      <c r="L115" s="1">
        <v>240</v>
      </c>
      <c r="M115" s="1">
        <v>800</v>
      </c>
      <c r="N115" s="1">
        <v>0</v>
      </c>
      <c r="O115" s="1">
        <v>22</v>
      </c>
      <c r="P115" s="1">
        <v>0</v>
      </c>
      <c r="Q115" s="2" t="s">
        <v>54</v>
      </c>
      <c r="R115" s="6" t="s">
        <v>44</v>
      </c>
      <c r="S115" s="2" t="s">
        <v>1402</v>
      </c>
      <c r="T115" s="3"/>
      <c r="V115" s="3"/>
      <c r="W115" s="2" t="s">
        <v>1256</v>
      </c>
      <c r="X115"/>
      <c r="Y115"/>
    </row>
    <row r="116" spans="1:25" ht="41.25" customHeight="1" x14ac:dyDescent="0.25">
      <c r="A116" s="2" t="s">
        <v>39</v>
      </c>
      <c r="B116" s="5" t="s">
        <v>70</v>
      </c>
      <c r="C116" s="18" t="s">
        <v>46</v>
      </c>
      <c r="D116" s="18" t="s">
        <v>30</v>
      </c>
      <c r="E116" s="2" t="s">
        <v>318</v>
      </c>
      <c r="F116" s="1">
        <v>47</v>
      </c>
      <c r="G116" s="3">
        <v>46177</v>
      </c>
      <c r="H116" s="3"/>
      <c r="I116" s="3">
        <v>46178</v>
      </c>
      <c r="J116" s="1">
        <v>1</v>
      </c>
      <c r="K116" s="1">
        <v>0</v>
      </c>
      <c r="L116" s="1">
        <v>24</v>
      </c>
      <c r="M116" s="1">
        <v>250</v>
      </c>
      <c r="N116" s="1">
        <v>0</v>
      </c>
      <c r="O116" s="1">
        <v>0</v>
      </c>
      <c r="P116" s="1">
        <v>0</v>
      </c>
      <c r="Q116" s="2" t="s">
        <v>96</v>
      </c>
      <c r="R116" s="6" t="s">
        <v>1516</v>
      </c>
      <c r="S116" s="2" t="s">
        <v>1322</v>
      </c>
      <c r="T116" s="3"/>
      <c r="V116" s="3"/>
      <c r="W116" s="2" t="s">
        <v>1256</v>
      </c>
      <c r="X116"/>
      <c r="Y116"/>
    </row>
    <row r="117" spans="1:25" ht="41.25" customHeight="1" x14ac:dyDescent="0.25">
      <c r="A117" s="2" t="s">
        <v>39</v>
      </c>
      <c r="B117" s="5" t="s">
        <v>70</v>
      </c>
      <c r="C117" s="18"/>
      <c r="D117" s="18"/>
      <c r="E117" s="2" t="s">
        <v>221</v>
      </c>
      <c r="G117" s="3">
        <v>46178</v>
      </c>
      <c r="H117" s="3"/>
      <c r="I117" s="3">
        <v>46186</v>
      </c>
      <c r="J117" s="1">
        <v>8</v>
      </c>
      <c r="K117" s="1">
        <v>0</v>
      </c>
      <c r="L117" s="1">
        <v>192</v>
      </c>
      <c r="M117" s="1">
        <v>0</v>
      </c>
      <c r="N117" s="1">
        <v>0</v>
      </c>
      <c r="O117" s="1">
        <v>0</v>
      </c>
      <c r="Q117" s="2" t="s">
        <v>51</v>
      </c>
      <c r="R117" s="6" t="s">
        <v>43</v>
      </c>
      <c r="S117" s="2" t="s">
        <v>25</v>
      </c>
      <c r="T117" s="3"/>
      <c r="V117" s="3"/>
      <c r="W117" s="2" t="s">
        <v>95</v>
      </c>
      <c r="X117"/>
      <c r="Y117"/>
    </row>
    <row r="118" spans="1:25" ht="41.25" customHeight="1" x14ac:dyDescent="0.25">
      <c r="A118" s="2" t="s">
        <v>39</v>
      </c>
      <c r="B118" s="5" t="s">
        <v>70</v>
      </c>
      <c r="C118" s="18" t="s">
        <v>23</v>
      </c>
      <c r="D118" s="18" t="s">
        <v>229</v>
      </c>
      <c r="E118" s="2" t="s">
        <v>327</v>
      </c>
      <c r="F118" s="1">
        <v>70</v>
      </c>
      <c r="G118" s="3">
        <v>46186</v>
      </c>
      <c r="H118" s="3"/>
      <c r="I118" s="3">
        <v>46196</v>
      </c>
      <c r="J118" s="1">
        <v>10</v>
      </c>
      <c r="K118" s="1">
        <v>0</v>
      </c>
      <c r="L118" s="1">
        <v>240</v>
      </c>
      <c r="M118" s="1">
        <v>2000</v>
      </c>
      <c r="N118" s="1">
        <v>0</v>
      </c>
      <c r="O118" s="1">
        <v>0</v>
      </c>
      <c r="P118" s="1">
        <v>0</v>
      </c>
      <c r="Q118" s="2" t="s">
        <v>54</v>
      </c>
      <c r="R118" s="6" t="s">
        <v>1217</v>
      </c>
      <c r="S118" s="2" t="s">
        <v>1350</v>
      </c>
      <c r="T118" s="3"/>
      <c r="V118" s="3"/>
      <c r="W118" s="2" t="s">
        <v>1256</v>
      </c>
      <c r="X118"/>
      <c r="Y118"/>
    </row>
    <row r="119" spans="1:25" ht="41.25" customHeight="1" x14ac:dyDescent="0.25">
      <c r="A119" s="2" t="s">
        <v>38</v>
      </c>
      <c r="B119" s="5" t="s">
        <v>70</v>
      </c>
      <c r="C119" s="18"/>
      <c r="D119" s="18"/>
      <c r="E119" s="2" t="s">
        <v>221</v>
      </c>
      <c r="G119" s="3">
        <v>46196</v>
      </c>
      <c r="H119" s="3"/>
      <c r="I119" s="3">
        <v>46204</v>
      </c>
      <c r="J119" s="1">
        <v>8</v>
      </c>
      <c r="K119" s="1">
        <v>0</v>
      </c>
      <c r="L119" s="1">
        <v>192</v>
      </c>
      <c r="M119" s="1">
        <v>0</v>
      </c>
      <c r="N119" s="1">
        <v>0</v>
      </c>
      <c r="O119" s="1">
        <v>0</v>
      </c>
      <c r="Q119" s="2" t="s">
        <v>51</v>
      </c>
      <c r="R119" s="6" t="s">
        <v>43</v>
      </c>
      <c r="S119" s="2" t="s">
        <v>25</v>
      </c>
      <c r="T119" s="3"/>
      <c r="V119" s="3"/>
      <c r="W119" s="2" t="s">
        <v>95</v>
      </c>
      <c r="X119"/>
      <c r="Y119"/>
    </row>
    <row r="120" spans="1:25" ht="41.25" customHeight="1" x14ac:dyDescent="0.25">
      <c r="A120" s="2" t="s">
        <v>39</v>
      </c>
      <c r="B120" s="5" t="s">
        <v>70</v>
      </c>
      <c r="C120" s="18"/>
      <c r="D120" s="18"/>
      <c r="E120" s="2" t="s">
        <v>133</v>
      </c>
      <c r="F120" s="1">
        <v>37</v>
      </c>
      <c r="G120" s="3">
        <v>46204</v>
      </c>
      <c r="H120" s="3"/>
      <c r="I120" s="3">
        <v>46218</v>
      </c>
      <c r="J120" s="1">
        <v>14</v>
      </c>
      <c r="K120" s="1">
        <v>0</v>
      </c>
      <c r="L120" s="1">
        <v>336</v>
      </c>
      <c r="M120" s="1">
        <v>250</v>
      </c>
      <c r="N120" s="1">
        <v>0</v>
      </c>
      <c r="O120" s="1">
        <v>0</v>
      </c>
      <c r="P120" s="1">
        <v>0</v>
      </c>
      <c r="Q120" s="2" t="s">
        <v>97</v>
      </c>
      <c r="R120" s="6" t="s">
        <v>1218</v>
      </c>
      <c r="S120" s="2" t="s">
        <v>1340</v>
      </c>
      <c r="T120" s="3"/>
      <c r="V120" s="3"/>
      <c r="W120" s="2" t="s">
        <v>1256</v>
      </c>
      <c r="X120"/>
      <c r="Y120"/>
    </row>
    <row r="121" spans="1:25" ht="41.25" customHeight="1" x14ac:dyDescent="0.25">
      <c r="A121" s="2" t="s">
        <v>39</v>
      </c>
      <c r="B121" s="5" t="s">
        <v>70</v>
      </c>
      <c r="C121" s="18"/>
      <c r="D121" s="18"/>
      <c r="E121" s="2" t="s">
        <v>221</v>
      </c>
      <c r="G121" s="3">
        <v>46218</v>
      </c>
      <c r="H121" s="3"/>
      <c r="I121" s="3">
        <v>46226</v>
      </c>
      <c r="J121" s="1">
        <v>8</v>
      </c>
      <c r="K121" s="1">
        <v>0</v>
      </c>
      <c r="L121" s="1">
        <v>192</v>
      </c>
      <c r="M121" s="1">
        <v>0</v>
      </c>
      <c r="N121" s="1">
        <v>0</v>
      </c>
      <c r="O121" s="1">
        <v>0</v>
      </c>
      <c r="Q121" s="2" t="s">
        <v>51</v>
      </c>
      <c r="R121" s="6" t="s">
        <v>43</v>
      </c>
      <c r="S121" s="2" t="s">
        <v>25</v>
      </c>
      <c r="T121" s="3"/>
      <c r="V121" s="3"/>
      <c r="W121" s="2" t="s">
        <v>95</v>
      </c>
      <c r="X121"/>
      <c r="Y121"/>
    </row>
    <row r="122" spans="1:25" ht="41.25" customHeight="1" x14ac:dyDescent="0.25">
      <c r="A122" s="2" t="s">
        <v>39</v>
      </c>
      <c r="B122" s="5" t="s">
        <v>70</v>
      </c>
      <c r="C122" s="18"/>
      <c r="D122" s="18" t="s">
        <v>30</v>
      </c>
      <c r="E122" s="2" t="s">
        <v>1139</v>
      </c>
      <c r="F122" s="1">
        <v>33</v>
      </c>
      <c r="G122" s="3">
        <v>46226</v>
      </c>
      <c r="H122" s="3"/>
      <c r="I122" s="3">
        <v>46234</v>
      </c>
      <c r="J122" s="1">
        <v>8</v>
      </c>
      <c r="K122" s="1">
        <v>0</v>
      </c>
      <c r="L122" s="1">
        <v>192</v>
      </c>
      <c r="M122" s="1">
        <v>59</v>
      </c>
      <c r="N122" s="1">
        <v>35</v>
      </c>
      <c r="O122" s="1">
        <v>32</v>
      </c>
      <c r="P122" s="1">
        <v>1250</v>
      </c>
      <c r="Q122" s="2" t="s">
        <v>51</v>
      </c>
      <c r="R122" s="6" t="s">
        <v>26</v>
      </c>
      <c r="S122" s="2" t="s">
        <v>25</v>
      </c>
      <c r="T122" s="3"/>
      <c r="V122" s="3"/>
      <c r="W122" s="2" t="s">
        <v>104</v>
      </c>
      <c r="X122"/>
      <c r="Y122"/>
    </row>
    <row r="123" spans="1:25" ht="41.25" customHeight="1" x14ac:dyDescent="0.25">
      <c r="A123" s="2" t="s">
        <v>39</v>
      </c>
      <c r="B123" s="5" t="s">
        <v>1449</v>
      </c>
      <c r="C123" s="18" t="s">
        <v>23</v>
      </c>
      <c r="D123" s="18" t="s">
        <v>41</v>
      </c>
      <c r="E123" s="2" t="s">
        <v>1450</v>
      </c>
      <c r="F123" s="1">
        <v>1</v>
      </c>
      <c r="G123" s="3">
        <v>46116</v>
      </c>
      <c r="H123" s="3"/>
      <c r="I123" s="3">
        <v>46173</v>
      </c>
      <c r="J123" s="1">
        <v>57</v>
      </c>
      <c r="K123" s="1">
        <v>0</v>
      </c>
      <c r="L123" s="1">
        <v>1368</v>
      </c>
      <c r="M123" s="1">
        <v>543</v>
      </c>
      <c r="N123" s="1">
        <v>77</v>
      </c>
      <c r="O123" s="1">
        <v>101</v>
      </c>
      <c r="P123" s="1">
        <v>445</v>
      </c>
      <c r="Q123" s="2" t="s">
        <v>64</v>
      </c>
      <c r="R123" s="6" t="s">
        <v>1451</v>
      </c>
      <c r="S123" s="2" t="s">
        <v>25</v>
      </c>
      <c r="T123" s="3"/>
      <c r="V123" s="3"/>
      <c r="W123" s="2" t="s">
        <v>28</v>
      </c>
      <c r="X123"/>
      <c r="Y123"/>
    </row>
    <row r="124" spans="1:25" ht="41.25" customHeight="1" x14ac:dyDescent="0.25">
      <c r="A124" s="2" t="s">
        <v>38</v>
      </c>
      <c r="B124" s="5" t="s">
        <v>1449</v>
      </c>
      <c r="C124" s="18"/>
      <c r="D124" s="18"/>
      <c r="E124" s="2" t="s">
        <v>219</v>
      </c>
      <c r="G124" s="3">
        <v>46173</v>
      </c>
      <c r="H124" s="3"/>
      <c r="I124" s="3">
        <v>46177</v>
      </c>
      <c r="J124" s="1">
        <v>4</v>
      </c>
      <c r="K124" s="1">
        <v>0</v>
      </c>
      <c r="L124" s="1">
        <v>96</v>
      </c>
      <c r="M124" s="1">
        <v>0</v>
      </c>
      <c r="N124" s="1">
        <v>0</v>
      </c>
      <c r="O124" s="1">
        <v>0</v>
      </c>
      <c r="Q124" s="2" t="s">
        <v>49</v>
      </c>
      <c r="R124" s="6" t="s">
        <v>1517</v>
      </c>
      <c r="S124" s="2" t="s">
        <v>25</v>
      </c>
      <c r="T124" s="3"/>
      <c r="V124" s="3"/>
      <c r="W124" s="2" t="s">
        <v>95</v>
      </c>
      <c r="X124"/>
      <c r="Y124"/>
    </row>
    <row r="125" spans="1:25" ht="41.25" customHeight="1" x14ac:dyDescent="0.25">
      <c r="A125" s="2" t="s">
        <v>38</v>
      </c>
      <c r="B125" s="5" t="s">
        <v>1449</v>
      </c>
      <c r="C125" s="18"/>
      <c r="D125" s="18"/>
      <c r="E125" s="2" t="s">
        <v>1518</v>
      </c>
      <c r="F125" s="1">
        <v>2</v>
      </c>
      <c r="G125" s="3">
        <v>46177</v>
      </c>
      <c r="H125" s="3"/>
      <c r="I125" s="3">
        <v>46189</v>
      </c>
      <c r="J125" s="1">
        <v>11</v>
      </c>
      <c r="K125" s="1">
        <v>1</v>
      </c>
      <c r="L125" s="1">
        <v>288</v>
      </c>
      <c r="M125" s="1">
        <v>1000</v>
      </c>
      <c r="N125" s="1">
        <v>0</v>
      </c>
      <c r="P125" s="1">
        <v>0</v>
      </c>
      <c r="Q125" s="2" t="s">
        <v>54</v>
      </c>
      <c r="R125" s="6" t="s">
        <v>1503</v>
      </c>
      <c r="S125" s="2" t="s">
        <v>1519</v>
      </c>
      <c r="T125" s="3"/>
      <c r="V125" s="3"/>
      <c r="W125" s="2" t="s">
        <v>1487</v>
      </c>
      <c r="X125"/>
      <c r="Y125"/>
    </row>
    <row r="126" spans="1:25" ht="41.25" customHeight="1" x14ac:dyDescent="0.25">
      <c r="A126" s="2" t="s">
        <v>38</v>
      </c>
      <c r="B126" s="5" t="s">
        <v>1449</v>
      </c>
      <c r="C126" s="18"/>
      <c r="D126" s="18"/>
      <c r="E126" s="2" t="s">
        <v>1520</v>
      </c>
      <c r="F126" s="1">
        <v>19</v>
      </c>
      <c r="G126" s="3">
        <v>46189</v>
      </c>
      <c r="H126" s="3"/>
      <c r="I126" s="3">
        <v>46200</v>
      </c>
      <c r="J126" s="1">
        <v>10</v>
      </c>
      <c r="K126" s="1">
        <v>1</v>
      </c>
      <c r="L126" s="1">
        <v>264</v>
      </c>
      <c r="M126" s="1">
        <v>1000</v>
      </c>
      <c r="N126" s="1">
        <v>0</v>
      </c>
      <c r="O126" s="1">
        <v>0</v>
      </c>
      <c r="P126" s="1">
        <v>0</v>
      </c>
      <c r="Q126" s="2" t="s">
        <v>227</v>
      </c>
      <c r="R126" s="6" t="s">
        <v>1521</v>
      </c>
      <c r="S126" s="2" t="s">
        <v>1522</v>
      </c>
      <c r="T126" s="3"/>
      <c r="V126" s="3"/>
      <c r="W126" s="2" t="s">
        <v>42</v>
      </c>
      <c r="X126"/>
      <c r="Y126"/>
    </row>
    <row r="127" spans="1:25" ht="41.25" customHeight="1" x14ac:dyDescent="0.25">
      <c r="A127" s="2" t="s">
        <v>38</v>
      </c>
      <c r="B127" s="5" t="s">
        <v>1449</v>
      </c>
      <c r="C127" s="18"/>
      <c r="D127" s="18"/>
      <c r="E127" s="2" t="s">
        <v>1485</v>
      </c>
      <c r="F127" s="1">
        <v>19</v>
      </c>
      <c r="G127" s="3">
        <v>46200</v>
      </c>
      <c r="H127" s="3"/>
      <c r="I127" s="3">
        <v>46210</v>
      </c>
      <c r="J127" s="1">
        <v>10</v>
      </c>
      <c r="K127" s="1">
        <v>0</v>
      </c>
      <c r="L127" s="1">
        <v>240</v>
      </c>
      <c r="M127" s="1">
        <v>150</v>
      </c>
      <c r="N127" s="1">
        <v>5</v>
      </c>
      <c r="O127" s="1">
        <v>123</v>
      </c>
      <c r="P127" s="1">
        <v>1000</v>
      </c>
      <c r="Q127" s="2" t="s">
        <v>51</v>
      </c>
      <c r="R127" s="6" t="s">
        <v>1500</v>
      </c>
      <c r="S127" s="2" t="s">
        <v>1486</v>
      </c>
      <c r="T127" s="3"/>
      <c r="V127" s="3"/>
      <c r="W127" s="2" t="s">
        <v>1487</v>
      </c>
      <c r="X127"/>
      <c r="Y127"/>
    </row>
    <row r="128" spans="1:25" ht="41.25" customHeight="1" x14ac:dyDescent="0.25">
      <c r="A128" s="2" t="s">
        <v>38</v>
      </c>
      <c r="B128" s="5" t="s">
        <v>1449</v>
      </c>
      <c r="C128" s="18"/>
      <c r="D128" s="18"/>
      <c r="E128" s="2" t="s">
        <v>308</v>
      </c>
      <c r="F128" s="1">
        <v>19</v>
      </c>
      <c r="G128" s="3">
        <v>46210</v>
      </c>
      <c r="H128" s="3"/>
      <c r="I128" s="3">
        <v>46218</v>
      </c>
      <c r="J128" s="1">
        <v>8</v>
      </c>
      <c r="K128" s="1">
        <v>0</v>
      </c>
      <c r="L128" s="1">
        <v>192</v>
      </c>
      <c r="M128" s="1">
        <v>563</v>
      </c>
      <c r="N128" s="1">
        <v>2</v>
      </c>
      <c r="O128" s="1">
        <v>429</v>
      </c>
      <c r="P128" s="1">
        <v>60</v>
      </c>
      <c r="Q128" s="2" t="s">
        <v>58</v>
      </c>
      <c r="R128" s="6" t="s">
        <v>214</v>
      </c>
      <c r="S128" s="2" t="s">
        <v>1330</v>
      </c>
      <c r="T128" s="3"/>
      <c r="V128" s="3"/>
      <c r="W128" s="2" t="s">
        <v>24</v>
      </c>
    </row>
    <row r="129" spans="1:23" ht="41.25" customHeight="1" x14ac:dyDescent="0.25">
      <c r="A129" s="2" t="s">
        <v>38</v>
      </c>
      <c r="B129" s="5" t="s">
        <v>1449</v>
      </c>
      <c r="C129" s="18"/>
      <c r="D129" s="18"/>
      <c r="E129" s="2" t="s">
        <v>1485</v>
      </c>
      <c r="F129" s="1">
        <v>19</v>
      </c>
      <c r="G129" s="3">
        <v>46218</v>
      </c>
      <c r="H129" s="3"/>
      <c r="I129" s="3">
        <v>46233</v>
      </c>
      <c r="J129" s="1">
        <v>15</v>
      </c>
      <c r="K129" s="1">
        <v>0</v>
      </c>
      <c r="L129" s="1">
        <v>360</v>
      </c>
      <c r="M129" s="1">
        <v>150</v>
      </c>
      <c r="N129" s="1">
        <v>5</v>
      </c>
      <c r="O129" s="1">
        <v>123</v>
      </c>
      <c r="P129" s="1">
        <v>1000</v>
      </c>
      <c r="Q129" s="2" t="s">
        <v>98</v>
      </c>
      <c r="R129" s="6" t="s">
        <v>1501</v>
      </c>
      <c r="S129" s="2" t="s">
        <v>1486</v>
      </c>
      <c r="T129" s="3"/>
      <c r="V129" s="3"/>
      <c r="W129" s="2" t="s">
        <v>1487</v>
      </c>
    </row>
    <row r="130" spans="1:23" ht="41.25" customHeight="1" x14ac:dyDescent="0.25">
      <c r="A130" s="2" t="s">
        <v>38</v>
      </c>
      <c r="B130" s="5" t="s">
        <v>71</v>
      </c>
      <c r="C130" s="18" t="s">
        <v>23</v>
      </c>
      <c r="D130" s="18" t="s">
        <v>41</v>
      </c>
      <c r="E130" s="2" t="s">
        <v>189</v>
      </c>
      <c r="F130" s="1">
        <v>177</v>
      </c>
      <c r="G130" s="3">
        <v>46121</v>
      </c>
      <c r="H130" s="3"/>
      <c r="I130" s="3">
        <v>46147</v>
      </c>
      <c r="J130" s="1">
        <v>26</v>
      </c>
      <c r="K130" s="1">
        <v>0</v>
      </c>
      <c r="L130" s="1">
        <v>624</v>
      </c>
      <c r="M130" s="1">
        <v>82</v>
      </c>
      <c r="N130" s="1">
        <v>50</v>
      </c>
      <c r="O130" s="1">
        <v>15</v>
      </c>
      <c r="P130" s="1">
        <v>320</v>
      </c>
      <c r="Q130" s="2" t="s">
        <v>157</v>
      </c>
      <c r="R130" s="6" t="s">
        <v>1424</v>
      </c>
      <c r="S130" s="2" t="s">
        <v>1345</v>
      </c>
      <c r="T130" s="3"/>
      <c r="V130" s="3"/>
      <c r="W130" s="2" t="s">
        <v>27</v>
      </c>
    </row>
    <row r="131" spans="1:23" ht="41.25" customHeight="1" x14ac:dyDescent="0.25">
      <c r="A131" s="2" t="s">
        <v>38</v>
      </c>
      <c r="B131" s="5" t="s">
        <v>71</v>
      </c>
      <c r="C131" s="18" t="s">
        <v>23</v>
      </c>
      <c r="D131" s="18" t="s">
        <v>116</v>
      </c>
      <c r="E131" s="2" t="s">
        <v>188</v>
      </c>
      <c r="F131" s="1">
        <v>177</v>
      </c>
      <c r="G131" s="3">
        <v>46147</v>
      </c>
      <c r="H131" s="3"/>
      <c r="I131" s="3">
        <v>46155</v>
      </c>
      <c r="J131" s="1">
        <v>8</v>
      </c>
      <c r="K131" s="1">
        <v>0</v>
      </c>
      <c r="L131" s="1">
        <v>192</v>
      </c>
      <c r="M131" s="1">
        <v>53</v>
      </c>
      <c r="N131" s="1">
        <v>50</v>
      </c>
      <c r="O131" s="1">
        <v>22</v>
      </c>
      <c r="P131" s="1">
        <v>320</v>
      </c>
      <c r="Q131" s="2" t="s">
        <v>57</v>
      </c>
      <c r="R131" s="6" t="s">
        <v>1156</v>
      </c>
      <c r="S131" s="2" t="s">
        <v>1346</v>
      </c>
      <c r="T131" s="3"/>
      <c r="V131" s="3"/>
      <c r="W131" s="2" t="s">
        <v>27</v>
      </c>
    </row>
    <row r="132" spans="1:23" ht="41.25" customHeight="1" x14ac:dyDescent="0.25">
      <c r="A132" s="2" t="s">
        <v>38</v>
      </c>
      <c r="B132" s="5" t="s">
        <v>71</v>
      </c>
      <c r="C132" s="18"/>
      <c r="D132" s="18"/>
      <c r="E132" s="2" t="s">
        <v>1523</v>
      </c>
      <c r="F132" s="1">
        <v>17</v>
      </c>
      <c r="G132" s="3">
        <v>46155</v>
      </c>
      <c r="H132" s="3"/>
      <c r="I132" s="3">
        <v>46166</v>
      </c>
      <c r="J132" s="1">
        <v>11</v>
      </c>
      <c r="K132" s="1">
        <v>0</v>
      </c>
      <c r="L132" s="1">
        <v>264</v>
      </c>
      <c r="M132" s="1">
        <v>1000</v>
      </c>
      <c r="N132" s="1">
        <v>0</v>
      </c>
      <c r="O132" s="1">
        <v>0</v>
      </c>
      <c r="P132" s="1">
        <v>0</v>
      </c>
      <c r="Q132" s="2" t="s">
        <v>54</v>
      </c>
      <c r="R132" s="6" t="s">
        <v>1206</v>
      </c>
      <c r="S132" s="2" t="s">
        <v>1524</v>
      </c>
      <c r="T132" s="3"/>
      <c r="V132" s="3"/>
      <c r="W132" s="2" t="s">
        <v>42</v>
      </c>
    </row>
    <row r="133" spans="1:23" ht="41.25" customHeight="1" x14ac:dyDescent="0.25">
      <c r="A133" s="2" t="s">
        <v>38</v>
      </c>
      <c r="B133" s="5" t="s">
        <v>71</v>
      </c>
      <c r="C133" s="18"/>
      <c r="D133" s="18"/>
      <c r="E133" s="2" t="s">
        <v>220</v>
      </c>
      <c r="G133" s="3">
        <v>46166</v>
      </c>
      <c r="H133" s="3"/>
      <c r="I133" s="3">
        <v>46175</v>
      </c>
      <c r="J133" s="1">
        <v>8</v>
      </c>
      <c r="K133" s="1">
        <v>1</v>
      </c>
      <c r="L133" s="1">
        <v>216</v>
      </c>
      <c r="M133" s="1">
        <v>0</v>
      </c>
      <c r="N133" s="1">
        <v>0</v>
      </c>
      <c r="O133" s="1">
        <v>0</v>
      </c>
      <c r="Q133" s="2" t="s">
        <v>51</v>
      </c>
      <c r="R133" s="6" t="s">
        <v>243</v>
      </c>
      <c r="S133" s="2" t="s">
        <v>25</v>
      </c>
      <c r="T133" s="3"/>
      <c r="V133" s="3"/>
      <c r="W133" s="2" t="s">
        <v>95</v>
      </c>
    </row>
    <row r="134" spans="1:23" ht="41.25" customHeight="1" x14ac:dyDescent="0.25">
      <c r="A134" s="2" t="s">
        <v>38</v>
      </c>
      <c r="B134" s="5" t="s">
        <v>71</v>
      </c>
      <c r="C134" s="18" t="s">
        <v>46</v>
      </c>
      <c r="D134" s="18"/>
      <c r="E134" s="2" t="s">
        <v>1212</v>
      </c>
      <c r="F134" s="1">
        <v>17</v>
      </c>
      <c r="G134" s="3">
        <v>46175</v>
      </c>
      <c r="H134" s="3"/>
      <c r="I134" s="3">
        <v>46186</v>
      </c>
      <c r="J134" s="1">
        <v>10</v>
      </c>
      <c r="K134" s="1">
        <v>1</v>
      </c>
      <c r="L134" s="1">
        <v>264</v>
      </c>
      <c r="M134" s="1">
        <v>1100</v>
      </c>
      <c r="N134" s="1">
        <v>0</v>
      </c>
      <c r="O134" s="1">
        <v>0</v>
      </c>
      <c r="P134" s="1">
        <v>0</v>
      </c>
      <c r="Q134" s="2" t="s">
        <v>227</v>
      </c>
      <c r="R134" s="6" t="s">
        <v>1213</v>
      </c>
      <c r="S134" s="2" t="s">
        <v>1331</v>
      </c>
      <c r="T134" s="3"/>
      <c r="V134" s="3"/>
      <c r="W134" s="2" t="s">
        <v>42</v>
      </c>
    </row>
    <row r="135" spans="1:23" ht="41.25" customHeight="1" x14ac:dyDescent="0.25">
      <c r="A135" s="2" t="s">
        <v>38</v>
      </c>
      <c r="B135" s="5" t="s">
        <v>71</v>
      </c>
      <c r="C135" s="18"/>
      <c r="D135" s="18" t="s">
        <v>30</v>
      </c>
      <c r="E135" s="2" t="s">
        <v>1482</v>
      </c>
      <c r="F135" s="1">
        <v>17</v>
      </c>
      <c r="G135" s="3">
        <v>46186</v>
      </c>
      <c r="H135" s="3"/>
      <c r="I135" s="3">
        <v>46197</v>
      </c>
      <c r="J135" s="1">
        <v>10</v>
      </c>
      <c r="K135" s="1">
        <v>1</v>
      </c>
      <c r="L135" s="1">
        <v>264</v>
      </c>
      <c r="M135" s="1">
        <v>243</v>
      </c>
      <c r="N135" s="1">
        <v>31</v>
      </c>
      <c r="O135" s="1">
        <v>144</v>
      </c>
      <c r="P135" s="1">
        <v>1000</v>
      </c>
      <c r="Q135" s="2" t="s">
        <v>98</v>
      </c>
      <c r="R135" s="6" t="s">
        <v>1525</v>
      </c>
      <c r="S135" s="2" t="s">
        <v>1484</v>
      </c>
      <c r="T135" s="3"/>
      <c r="V135" s="3"/>
      <c r="W135" s="2" t="s">
        <v>24</v>
      </c>
    </row>
    <row r="136" spans="1:23" ht="41.25" customHeight="1" x14ac:dyDescent="0.25">
      <c r="A136" s="2" t="s">
        <v>38</v>
      </c>
      <c r="B136" s="5" t="s">
        <v>71</v>
      </c>
      <c r="C136" s="18"/>
      <c r="D136" s="18"/>
      <c r="E136" s="2" t="s">
        <v>220</v>
      </c>
      <c r="G136" s="3">
        <v>46197</v>
      </c>
      <c r="H136" s="3"/>
      <c r="I136" s="3">
        <v>46205</v>
      </c>
      <c r="J136" s="1">
        <v>8</v>
      </c>
      <c r="K136" s="1">
        <v>0</v>
      </c>
      <c r="L136" s="1">
        <v>192</v>
      </c>
      <c r="M136" s="1">
        <v>0</v>
      </c>
      <c r="N136" s="1">
        <v>0</v>
      </c>
      <c r="O136" s="1">
        <v>0</v>
      </c>
      <c r="Q136" s="2" t="s">
        <v>51</v>
      </c>
      <c r="R136" s="6" t="s">
        <v>243</v>
      </c>
      <c r="S136" s="2" t="s">
        <v>25</v>
      </c>
      <c r="T136" s="3"/>
      <c r="V136" s="3"/>
      <c r="W136" s="2" t="s">
        <v>95</v>
      </c>
    </row>
    <row r="137" spans="1:23" ht="41.25" customHeight="1" x14ac:dyDescent="0.25">
      <c r="A137" s="2" t="s">
        <v>38</v>
      </c>
      <c r="B137" s="5" t="s">
        <v>71</v>
      </c>
      <c r="C137" s="18"/>
      <c r="D137" s="18"/>
      <c r="E137" s="2" t="s">
        <v>1482</v>
      </c>
      <c r="F137" s="1">
        <v>17</v>
      </c>
      <c r="G137" s="3">
        <v>46205</v>
      </c>
      <c r="H137" s="3"/>
      <c r="I137" s="3">
        <v>46220</v>
      </c>
      <c r="J137" s="1">
        <v>15</v>
      </c>
      <c r="K137" s="1">
        <v>0</v>
      </c>
      <c r="L137" s="1">
        <v>360</v>
      </c>
      <c r="M137" s="1">
        <v>243</v>
      </c>
      <c r="N137" s="1">
        <v>31</v>
      </c>
      <c r="O137" s="1">
        <v>144</v>
      </c>
      <c r="P137" s="1">
        <v>1000</v>
      </c>
      <c r="Q137" s="2" t="s">
        <v>98</v>
      </c>
      <c r="R137" s="6" t="s">
        <v>1501</v>
      </c>
      <c r="S137" s="2" t="s">
        <v>1484</v>
      </c>
      <c r="T137" s="3"/>
      <c r="V137" s="3"/>
      <c r="W137" s="2" t="s">
        <v>24</v>
      </c>
    </row>
    <row r="138" spans="1:23" ht="41.25" customHeight="1" x14ac:dyDescent="0.25">
      <c r="A138" s="2" t="s">
        <v>38</v>
      </c>
      <c r="B138" s="5" t="s">
        <v>71</v>
      </c>
      <c r="C138" s="18"/>
      <c r="D138" s="18"/>
      <c r="E138" s="2" t="s">
        <v>1526</v>
      </c>
      <c r="F138" s="1">
        <v>17</v>
      </c>
      <c r="G138" s="3">
        <v>46220</v>
      </c>
      <c r="H138" s="3"/>
      <c r="I138" s="3">
        <v>46226</v>
      </c>
      <c r="J138" s="1">
        <v>6</v>
      </c>
      <c r="K138" s="1">
        <v>0</v>
      </c>
      <c r="L138" s="1">
        <v>144</v>
      </c>
      <c r="M138" s="1">
        <v>597</v>
      </c>
      <c r="N138" s="1">
        <v>13</v>
      </c>
      <c r="O138" s="1">
        <v>443</v>
      </c>
      <c r="P138" s="1">
        <v>54</v>
      </c>
      <c r="Q138" s="2" t="s">
        <v>58</v>
      </c>
      <c r="R138" s="6" t="s">
        <v>214</v>
      </c>
      <c r="S138" s="2" t="s">
        <v>25</v>
      </c>
      <c r="T138" s="3"/>
      <c r="V138" s="3"/>
      <c r="W138" s="2" t="s">
        <v>95</v>
      </c>
    </row>
    <row r="139" spans="1:23" ht="41.25" customHeight="1" x14ac:dyDescent="0.25">
      <c r="A139" s="2" t="s">
        <v>38</v>
      </c>
      <c r="B139" s="5" t="s">
        <v>71</v>
      </c>
      <c r="C139" s="18"/>
      <c r="D139" s="18"/>
      <c r="E139" s="2" t="s">
        <v>1527</v>
      </c>
      <c r="F139" s="1">
        <v>17</v>
      </c>
      <c r="G139" s="3">
        <v>46226</v>
      </c>
      <c r="H139" s="3"/>
      <c r="I139" s="3">
        <v>46232</v>
      </c>
      <c r="J139" s="1">
        <v>6</v>
      </c>
      <c r="K139" s="1">
        <v>0</v>
      </c>
      <c r="L139" s="1">
        <v>144</v>
      </c>
      <c r="M139" s="1">
        <v>1150</v>
      </c>
      <c r="N139" s="1">
        <v>9</v>
      </c>
      <c r="O139" s="1">
        <v>949</v>
      </c>
      <c r="P139" s="1">
        <v>200</v>
      </c>
      <c r="Q139" s="2" t="s">
        <v>58</v>
      </c>
      <c r="R139" s="6" t="s">
        <v>214</v>
      </c>
      <c r="S139" s="2" t="s">
        <v>1528</v>
      </c>
      <c r="T139" s="3"/>
      <c r="V139" s="3"/>
      <c r="W139" s="2" t="s">
        <v>1487</v>
      </c>
    </row>
    <row r="140" spans="1:23" ht="41.25" customHeight="1" x14ac:dyDescent="0.25">
      <c r="A140" s="2" t="s">
        <v>39</v>
      </c>
      <c r="B140" s="5" t="s">
        <v>72</v>
      </c>
      <c r="C140" s="18" t="s">
        <v>23</v>
      </c>
      <c r="D140" s="18" t="s">
        <v>41</v>
      </c>
      <c r="E140" s="2" t="s">
        <v>1167</v>
      </c>
      <c r="F140" s="1">
        <v>89</v>
      </c>
      <c r="G140" s="3">
        <v>46128</v>
      </c>
      <c r="H140" s="3"/>
      <c r="I140" s="3">
        <v>46139</v>
      </c>
      <c r="J140" s="1">
        <v>11</v>
      </c>
      <c r="K140" s="1">
        <v>0</v>
      </c>
      <c r="L140" s="1">
        <v>264</v>
      </c>
      <c r="M140" s="1">
        <v>1092000</v>
      </c>
      <c r="N140" s="1">
        <v>0</v>
      </c>
      <c r="O140" s="1">
        <v>164</v>
      </c>
      <c r="P140" s="1">
        <v>0</v>
      </c>
      <c r="Q140" s="2" t="s">
        <v>48</v>
      </c>
      <c r="R140" s="6" t="s">
        <v>1410</v>
      </c>
      <c r="S140" s="2" t="s">
        <v>1333</v>
      </c>
      <c r="T140" s="3">
        <v>46104</v>
      </c>
      <c r="U140" s="1">
        <v>2</v>
      </c>
      <c r="V140" s="3">
        <v>46107</v>
      </c>
      <c r="W140" s="2" t="s">
        <v>1258</v>
      </c>
    </row>
    <row r="141" spans="1:23" ht="41.25" customHeight="1" x14ac:dyDescent="0.25">
      <c r="A141" s="2" t="s">
        <v>39</v>
      </c>
      <c r="B141" s="5" t="s">
        <v>72</v>
      </c>
      <c r="C141" s="18" t="s">
        <v>23</v>
      </c>
      <c r="D141" s="18" t="s">
        <v>1475</v>
      </c>
      <c r="E141" s="2" t="s">
        <v>183</v>
      </c>
      <c r="F141" s="1">
        <v>70</v>
      </c>
      <c r="G141" s="3">
        <v>46139</v>
      </c>
      <c r="H141" s="3"/>
      <c r="I141" s="3">
        <v>46149</v>
      </c>
      <c r="J141" s="1">
        <v>10</v>
      </c>
      <c r="K141" s="1">
        <v>0</v>
      </c>
      <c r="L141" s="1">
        <v>240</v>
      </c>
      <c r="M141" s="1">
        <v>1250</v>
      </c>
      <c r="N141" s="1">
        <v>0</v>
      </c>
      <c r="O141" s="1">
        <v>0</v>
      </c>
      <c r="P141" s="1">
        <v>0</v>
      </c>
      <c r="Q141" s="2" t="s">
        <v>96</v>
      </c>
      <c r="R141" s="6" t="s">
        <v>1476</v>
      </c>
      <c r="S141" s="2" t="s">
        <v>1477</v>
      </c>
      <c r="T141" s="3"/>
      <c r="V141" s="3"/>
      <c r="W141" s="2" t="s">
        <v>1227</v>
      </c>
    </row>
    <row r="142" spans="1:23" ht="41.25" customHeight="1" x14ac:dyDescent="0.25">
      <c r="A142" s="2" t="s">
        <v>39</v>
      </c>
      <c r="B142" s="5" t="s">
        <v>72</v>
      </c>
      <c r="C142" s="18" t="s">
        <v>46</v>
      </c>
      <c r="D142" s="18" t="s">
        <v>1475</v>
      </c>
      <c r="E142" s="2" t="s">
        <v>1478</v>
      </c>
      <c r="F142" s="1">
        <v>70</v>
      </c>
      <c r="G142" s="3">
        <v>46149</v>
      </c>
      <c r="H142" s="3"/>
      <c r="I142" s="3">
        <v>46159</v>
      </c>
      <c r="J142" s="1">
        <v>10</v>
      </c>
      <c r="K142" s="1">
        <v>0</v>
      </c>
      <c r="L142" s="1">
        <v>240</v>
      </c>
      <c r="M142" s="1">
        <v>800</v>
      </c>
      <c r="N142" s="1">
        <v>0</v>
      </c>
      <c r="O142" s="1">
        <v>0</v>
      </c>
      <c r="P142" s="1">
        <v>0</v>
      </c>
      <c r="Q142" s="2" t="s">
        <v>96</v>
      </c>
      <c r="R142" s="6" t="s">
        <v>1476</v>
      </c>
      <c r="S142" s="2" t="s">
        <v>1479</v>
      </c>
      <c r="T142" s="3"/>
      <c r="V142" s="3"/>
      <c r="W142" s="2" t="s">
        <v>1256</v>
      </c>
    </row>
    <row r="143" spans="1:23" ht="41.25" customHeight="1" x14ac:dyDescent="0.25">
      <c r="A143" s="2" t="s">
        <v>39</v>
      </c>
      <c r="B143" s="5" t="s">
        <v>72</v>
      </c>
      <c r="C143" s="18" t="s">
        <v>32</v>
      </c>
      <c r="D143" s="18" t="s">
        <v>1288</v>
      </c>
      <c r="E143" s="2" t="s">
        <v>356</v>
      </c>
      <c r="F143" s="1">
        <v>98</v>
      </c>
      <c r="G143" s="3">
        <v>46159</v>
      </c>
      <c r="H143" s="3"/>
      <c r="I143" s="3">
        <v>46160</v>
      </c>
      <c r="J143" s="1">
        <v>1</v>
      </c>
      <c r="K143" s="1">
        <v>0</v>
      </c>
      <c r="L143" s="1">
        <v>24</v>
      </c>
      <c r="M143" s="1">
        <v>60</v>
      </c>
      <c r="N143" s="1">
        <v>0</v>
      </c>
      <c r="O143" s="1">
        <v>0</v>
      </c>
      <c r="Q143" s="2" t="s">
        <v>53</v>
      </c>
      <c r="R143" s="6" t="s">
        <v>1425</v>
      </c>
      <c r="S143" s="2" t="s">
        <v>25</v>
      </c>
      <c r="T143" s="3"/>
      <c r="V143" s="3"/>
      <c r="W143" s="2" t="s">
        <v>95</v>
      </c>
    </row>
    <row r="144" spans="1:23" ht="41.25" customHeight="1" x14ac:dyDescent="0.25">
      <c r="A144" s="2" t="s">
        <v>39</v>
      </c>
      <c r="B144" s="5" t="s">
        <v>72</v>
      </c>
      <c r="C144" s="18"/>
      <c r="D144" s="18" t="s">
        <v>1288</v>
      </c>
      <c r="E144" s="2" t="s">
        <v>1249</v>
      </c>
      <c r="F144" s="1">
        <v>97</v>
      </c>
      <c r="G144" s="3">
        <v>46160</v>
      </c>
      <c r="H144" s="3"/>
      <c r="I144" s="3">
        <v>46161</v>
      </c>
      <c r="J144" s="1">
        <v>1</v>
      </c>
      <c r="K144" s="1">
        <v>0</v>
      </c>
      <c r="L144" s="1">
        <v>24</v>
      </c>
      <c r="M144" s="1">
        <v>250</v>
      </c>
      <c r="N144" s="1">
        <v>0</v>
      </c>
      <c r="O144" s="1">
        <v>0</v>
      </c>
      <c r="P144" s="1">
        <v>0</v>
      </c>
      <c r="Q144" s="2" t="s">
        <v>53</v>
      </c>
      <c r="R144" s="6" t="s">
        <v>357</v>
      </c>
      <c r="S144" s="2" t="s">
        <v>1343</v>
      </c>
      <c r="T144" s="3"/>
      <c r="V144" s="3"/>
      <c r="W144" s="2" t="s">
        <v>1256</v>
      </c>
    </row>
    <row r="145" spans="1:23" ht="41.25" customHeight="1" x14ac:dyDescent="0.25">
      <c r="A145" s="2" t="s">
        <v>39</v>
      </c>
      <c r="B145" s="5" t="s">
        <v>72</v>
      </c>
      <c r="C145" s="18" t="s">
        <v>32</v>
      </c>
      <c r="D145" s="18" t="s">
        <v>1288</v>
      </c>
      <c r="E145" s="2" t="s">
        <v>282</v>
      </c>
      <c r="F145" s="1">
        <v>1</v>
      </c>
      <c r="G145" s="3">
        <v>46161</v>
      </c>
      <c r="H145" s="3"/>
      <c r="I145" s="3">
        <v>46169</v>
      </c>
      <c r="J145" s="1">
        <v>8</v>
      </c>
      <c r="K145" s="1">
        <v>0</v>
      </c>
      <c r="L145" s="1">
        <v>192</v>
      </c>
      <c r="M145" s="1">
        <v>15</v>
      </c>
      <c r="N145" s="1">
        <v>0</v>
      </c>
      <c r="O145" s="1">
        <v>12</v>
      </c>
      <c r="P145" s="1">
        <v>1754</v>
      </c>
      <c r="Q145" s="2" t="s">
        <v>51</v>
      </c>
      <c r="R145" s="6" t="s">
        <v>26</v>
      </c>
      <c r="S145" s="2" t="s">
        <v>25</v>
      </c>
      <c r="T145" s="3"/>
      <c r="V145" s="3"/>
      <c r="W145" s="2" t="s">
        <v>29</v>
      </c>
    </row>
    <row r="146" spans="1:23" ht="41.25" customHeight="1" x14ac:dyDescent="0.25">
      <c r="A146" s="2" t="s">
        <v>39</v>
      </c>
      <c r="B146" s="5" t="s">
        <v>72</v>
      </c>
      <c r="C146" s="18" t="s">
        <v>23</v>
      </c>
      <c r="D146" s="18"/>
      <c r="E146" s="2" t="s">
        <v>248</v>
      </c>
      <c r="G146" s="3">
        <v>46169</v>
      </c>
      <c r="H146" s="3"/>
      <c r="I146" s="3">
        <v>46169</v>
      </c>
      <c r="J146" s="1">
        <v>0</v>
      </c>
      <c r="K146" s="1">
        <v>0</v>
      </c>
      <c r="L146" s="1">
        <v>12</v>
      </c>
      <c r="M146" s="1">
        <v>0</v>
      </c>
      <c r="N146" s="1">
        <v>0</v>
      </c>
      <c r="O146" s="1">
        <v>0</v>
      </c>
      <c r="Q146" s="2" t="s">
        <v>49</v>
      </c>
      <c r="R146" s="6" t="s">
        <v>249</v>
      </c>
      <c r="S146" s="2" t="s">
        <v>25</v>
      </c>
      <c r="T146" s="3"/>
      <c r="V146" s="3"/>
      <c r="W146" s="2" t="s">
        <v>95</v>
      </c>
    </row>
    <row r="147" spans="1:23" ht="41.25" customHeight="1" x14ac:dyDescent="0.25">
      <c r="A147" s="2" t="s">
        <v>39</v>
      </c>
      <c r="B147" s="5" t="s">
        <v>72</v>
      </c>
      <c r="C147" s="18"/>
      <c r="D147" s="18"/>
      <c r="E147" s="2" t="s">
        <v>232</v>
      </c>
      <c r="F147" s="1">
        <v>4</v>
      </c>
      <c r="G147" s="3">
        <v>46169</v>
      </c>
      <c r="H147" s="3"/>
      <c r="I147" s="3">
        <v>46179</v>
      </c>
      <c r="J147" s="1">
        <v>10</v>
      </c>
      <c r="K147" s="1">
        <v>0</v>
      </c>
      <c r="L147" s="1">
        <v>240</v>
      </c>
      <c r="M147" s="1">
        <v>0</v>
      </c>
      <c r="N147" s="1">
        <v>0</v>
      </c>
      <c r="O147" s="1">
        <v>0</v>
      </c>
      <c r="P147" s="1">
        <v>0</v>
      </c>
      <c r="Q147" s="2" t="s">
        <v>227</v>
      </c>
      <c r="R147" s="6" t="s">
        <v>233</v>
      </c>
      <c r="S147" s="2" t="s">
        <v>25</v>
      </c>
      <c r="T147" s="3"/>
      <c r="V147" s="3"/>
      <c r="W147" s="2" t="s">
        <v>1256</v>
      </c>
    </row>
    <row r="148" spans="1:23" ht="41.25" customHeight="1" x14ac:dyDescent="0.25">
      <c r="A148" s="2" t="s">
        <v>39</v>
      </c>
      <c r="B148" s="5" t="s">
        <v>72</v>
      </c>
      <c r="C148" s="18"/>
      <c r="D148" s="18" t="s">
        <v>30</v>
      </c>
      <c r="E148" s="2" t="s">
        <v>200</v>
      </c>
      <c r="F148" s="1">
        <v>15</v>
      </c>
      <c r="G148" s="3">
        <v>46179</v>
      </c>
      <c r="H148" s="3"/>
      <c r="I148" s="3">
        <v>46187</v>
      </c>
      <c r="J148" s="1">
        <v>8</v>
      </c>
      <c r="K148" s="1">
        <v>0</v>
      </c>
      <c r="L148" s="1">
        <v>192</v>
      </c>
      <c r="M148" s="1">
        <v>50</v>
      </c>
      <c r="N148" s="1">
        <v>50</v>
      </c>
      <c r="O148" s="1">
        <v>18</v>
      </c>
      <c r="P148" s="1">
        <v>200</v>
      </c>
      <c r="Q148" s="2" t="s">
        <v>51</v>
      </c>
      <c r="R148" s="6" t="s">
        <v>234</v>
      </c>
      <c r="S148" s="2" t="s">
        <v>25</v>
      </c>
      <c r="T148" s="3"/>
      <c r="V148" s="3"/>
      <c r="W148" s="2" t="s">
        <v>1268</v>
      </c>
    </row>
    <row r="149" spans="1:23" ht="41.25" customHeight="1" x14ac:dyDescent="0.25">
      <c r="A149" s="2" t="s">
        <v>39</v>
      </c>
      <c r="B149" s="5" t="s">
        <v>72</v>
      </c>
      <c r="C149" s="18"/>
      <c r="D149" s="18" t="s">
        <v>119</v>
      </c>
      <c r="E149" s="2" t="s">
        <v>252</v>
      </c>
      <c r="F149" s="1">
        <v>44</v>
      </c>
      <c r="G149" s="3">
        <v>46187</v>
      </c>
      <c r="H149" s="3"/>
      <c r="I149" s="3">
        <v>46195</v>
      </c>
      <c r="J149" s="1">
        <v>8</v>
      </c>
      <c r="K149" s="1">
        <v>0</v>
      </c>
      <c r="L149" s="1">
        <v>192</v>
      </c>
      <c r="M149" s="1">
        <v>200000</v>
      </c>
      <c r="N149" s="1">
        <v>0</v>
      </c>
      <c r="O149" s="1">
        <v>0</v>
      </c>
      <c r="P149" s="1">
        <v>0</v>
      </c>
      <c r="Q149" s="2" t="s">
        <v>48</v>
      </c>
      <c r="R149" s="6" t="s">
        <v>253</v>
      </c>
      <c r="S149" s="2" t="s">
        <v>1344</v>
      </c>
      <c r="T149" s="3">
        <v>46208</v>
      </c>
      <c r="U149" s="1">
        <v>8</v>
      </c>
      <c r="V149" s="3">
        <v>46226</v>
      </c>
      <c r="W149" s="2" t="s">
        <v>1258</v>
      </c>
    </row>
    <row r="150" spans="1:23" ht="41.25" customHeight="1" x14ac:dyDescent="0.25">
      <c r="A150" s="2" t="s">
        <v>39</v>
      </c>
      <c r="B150" s="5" t="s">
        <v>72</v>
      </c>
      <c r="C150" s="18"/>
      <c r="D150" s="18"/>
      <c r="E150" s="2" t="s">
        <v>250</v>
      </c>
      <c r="F150" s="1">
        <v>5</v>
      </c>
      <c r="G150" s="3">
        <v>46195</v>
      </c>
      <c r="H150" s="3"/>
      <c r="I150" s="3">
        <v>46203</v>
      </c>
      <c r="J150" s="1">
        <v>8</v>
      </c>
      <c r="K150" s="1">
        <v>0</v>
      </c>
      <c r="L150" s="1">
        <v>192</v>
      </c>
      <c r="M150" s="1">
        <v>0</v>
      </c>
      <c r="N150" s="1">
        <v>0</v>
      </c>
      <c r="O150" s="1">
        <v>0</v>
      </c>
      <c r="P150" s="1">
        <v>0</v>
      </c>
      <c r="Q150" s="2" t="s">
        <v>192</v>
      </c>
      <c r="R150" s="6" t="s">
        <v>1200</v>
      </c>
      <c r="S150" s="2" t="s">
        <v>25</v>
      </c>
      <c r="T150" s="3"/>
      <c r="V150" s="3"/>
      <c r="W150" s="2" t="s">
        <v>1256</v>
      </c>
    </row>
    <row r="151" spans="1:23" ht="41.25" customHeight="1" x14ac:dyDescent="0.25">
      <c r="A151" s="2" t="s">
        <v>39</v>
      </c>
      <c r="B151" s="5" t="s">
        <v>72</v>
      </c>
      <c r="C151" s="18"/>
      <c r="D151" s="18" t="s">
        <v>229</v>
      </c>
      <c r="E151" s="2" t="s">
        <v>1233</v>
      </c>
      <c r="F151" s="1">
        <v>4</v>
      </c>
      <c r="G151" s="3">
        <v>46203</v>
      </c>
      <c r="H151" s="3"/>
      <c r="I151" s="3">
        <v>46213</v>
      </c>
      <c r="J151" s="1">
        <v>10</v>
      </c>
      <c r="K151" s="1">
        <v>0</v>
      </c>
      <c r="L151" s="1">
        <v>240</v>
      </c>
      <c r="M151" s="1">
        <v>548000</v>
      </c>
      <c r="N151" s="1">
        <v>0</v>
      </c>
      <c r="O151" s="1">
        <v>55</v>
      </c>
      <c r="P151" s="1">
        <v>0</v>
      </c>
      <c r="Q151" s="2" t="s">
        <v>315</v>
      </c>
      <c r="R151" s="6" t="s">
        <v>1234</v>
      </c>
      <c r="S151" s="2" t="s">
        <v>25</v>
      </c>
      <c r="T151" s="3"/>
      <c r="V151" s="3"/>
      <c r="W151" s="2" t="s">
        <v>1256</v>
      </c>
    </row>
    <row r="152" spans="1:23" ht="41.25" customHeight="1" x14ac:dyDescent="0.25">
      <c r="A152" s="2" t="s">
        <v>39</v>
      </c>
      <c r="B152" s="5" t="s">
        <v>72</v>
      </c>
      <c r="C152" s="18"/>
      <c r="D152" s="18" t="s">
        <v>1235</v>
      </c>
      <c r="E152" s="2" t="s">
        <v>1236</v>
      </c>
      <c r="F152" s="1">
        <v>8</v>
      </c>
      <c r="G152" s="3">
        <v>46213</v>
      </c>
      <c r="H152" s="3"/>
      <c r="I152" s="3">
        <v>46223</v>
      </c>
      <c r="J152" s="1">
        <v>10</v>
      </c>
      <c r="K152" s="1">
        <v>0</v>
      </c>
      <c r="L152" s="1">
        <v>240</v>
      </c>
      <c r="M152" s="1">
        <v>811000</v>
      </c>
      <c r="N152" s="1">
        <v>0</v>
      </c>
      <c r="O152" s="1">
        <v>60</v>
      </c>
      <c r="P152" s="1">
        <v>0</v>
      </c>
      <c r="Q152" s="2" t="s">
        <v>315</v>
      </c>
      <c r="R152" s="6" t="s">
        <v>1234</v>
      </c>
      <c r="S152" s="2" t="s">
        <v>25</v>
      </c>
      <c r="T152" s="3"/>
      <c r="V152" s="3"/>
      <c r="W152" s="2" t="s">
        <v>1256</v>
      </c>
    </row>
    <row r="153" spans="1:23" ht="41.25" customHeight="1" x14ac:dyDescent="0.25">
      <c r="A153" s="2" t="s">
        <v>39</v>
      </c>
      <c r="B153" s="5" t="s">
        <v>72</v>
      </c>
      <c r="C153" s="18" t="s">
        <v>23</v>
      </c>
      <c r="D153" s="18"/>
      <c r="E153" s="2" t="s">
        <v>1237</v>
      </c>
      <c r="G153" s="3">
        <v>46223</v>
      </c>
      <c r="H153" s="3"/>
      <c r="I153" s="3">
        <v>46224</v>
      </c>
      <c r="J153" s="1">
        <v>0</v>
      </c>
      <c r="K153" s="1">
        <v>0</v>
      </c>
      <c r="L153" s="1">
        <v>12</v>
      </c>
      <c r="M153" s="1">
        <v>0</v>
      </c>
      <c r="N153" s="1">
        <v>0</v>
      </c>
      <c r="O153" s="1">
        <v>0</v>
      </c>
      <c r="Q153" s="2" t="s">
        <v>109</v>
      </c>
      <c r="R153" s="6"/>
      <c r="S153" s="2" t="s">
        <v>25</v>
      </c>
      <c r="T153" s="3"/>
      <c r="V153" s="3"/>
      <c r="W153" s="2" t="s">
        <v>95</v>
      </c>
    </row>
    <row r="154" spans="1:23" ht="41.25" customHeight="1" x14ac:dyDescent="0.25">
      <c r="A154" s="2" t="s">
        <v>39</v>
      </c>
      <c r="B154" s="5" t="s">
        <v>72</v>
      </c>
      <c r="C154" s="18" t="s">
        <v>23</v>
      </c>
      <c r="D154" s="18"/>
      <c r="E154" s="2" t="s">
        <v>281</v>
      </c>
      <c r="G154" s="3">
        <v>46224</v>
      </c>
      <c r="H154" s="3"/>
      <c r="I154" s="3">
        <v>46230</v>
      </c>
      <c r="J154" s="1">
        <v>6</v>
      </c>
      <c r="K154" s="1">
        <v>0</v>
      </c>
      <c r="L154" s="1">
        <v>144</v>
      </c>
      <c r="M154" s="1">
        <v>0</v>
      </c>
      <c r="N154" s="1">
        <v>0</v>
      </c>
      <c r="O154" s="1">
        <v>0</v>
      </c>
      <c r="Q154" s="2" t="s">
        <v>96</v>
      </c>
      <c r="R154" s="6" t="s">
        <v>1207</v>
      </c>
      <c r="S154" s="2" t="s">
        <v>25</v>
      </c>
      <c r="T154" s="3"/>
      <c r="V154" s="3"/>
      <c r="W154" s="2" t="s">
        <v>95</v>
      </c>
    </row>
    <row r="155" spans="1:23" ht="41.25" customHeight="1" x14ac:dyDescent="0.25">
      <c r="A155" s="2" t="s">
        <v>39</v>
      </c>
      <c r="B155" s="5" t="s">
        <v>72</v>
      </c>
      <c r="C155" s="18" t="s">
        <v>23</v>
      </c>
      <c r="D155" s="18"/>
      <c r="E155" s="2" t="s">
        <v>938</v>
      </c>
      <c r="G155" s="3">
        <v>46230</v>
      </c>
      <c r="H155" s="3"/>
      <c r="I155" s="3">
        <v>46230</v>
      </c>
      <c r="J155" s="1">
        <v>0</v>
      </c>
      <c r="K155" s="1">
        <v>0</v>
      </c>
      <c r="L155" s="1">
        <v>12</v>
      </c>
      <c r="M155" s="1">
        <v>0</v>
      </c>
      <c r="N155" s="1">
        <v>0</v>
      </c>
      <c r="O155" s="1">
        <v>0</v>
      </c>
      <c r="Q155" s="2" t="s">
        <v>50</v>
      </c>
      <c r="R155" s="6" t="s">
        <v>1208</v>
      </c>
      <c r="S155" s="2" t="s">
        <v>25</v>
      </c>
      <c r="T155" s="3"/>
      <c r="V155" s="3"/>
      <c r="W155" s="2" t="s">
        <v>95</v>
      </c>
    </row>
    <row r="156" spans="1:23" ht="41.25" customHeight="1" x14ac:dyDescent="0.25">
      <c r="A156" s="2" t="s">
        <v>39</v>
      </c>
      <c r="B156" s="5" t="s">
        <v>72</v>
      </c>
      <c r="C156" s="18" t="s">
        <v>23</v>
      </c>
      <c r="D156" s="18"/>
      <c r="E156" s="2" t="s">
        <v>1209</v>
      </c>
      <c r="G156" s="3">
        <v>46230</v>
      </c>
      <c r="H156" s="3"/>
      <c r="I156" s="3">
        <v>46231</v>
      </c>
      <c r="J156" s="1">
        <v>0</v>
      </c>
      <c r="K156" s="1">
        <v>0</v>
      </c>
      <c r="L156" s="1">
        <v>12</v>
      </c>
      <c r="M156" s="1">
        <v>0</v>
      </c>
      <c r="N156" s="1">
        <v>0</v>
      </c>
      <c r="O156" s="1">
        <v>0</v>
      </c>
      <c r="Q156" s="2" t="s">
        <v>50</v>
      </c>
      <c r="R156" s="6" t="s">
        <v>1208</v>
      </c>
      <c r="S156" s="2" t="s">
        <v>25</v>
      </c>
      <c r="T156" s="3"/>
      <c r="V156" s="3"/>
      <c r="W156" s="2" t="s">
        <v>95</v>
      </c>
    </row>
    <row r="157" spans="1:23" ht="41.25" customHeight="1" x14ac:dyDescent="0.25">
      <c r="A157" s="2" t="s">
        <v>39</v>
      </c>
      <c r="B157" s="5" t="s">
        <v>72</v>
      </c>
      <c r="C157" s="18" t="s">
        <v>23</v>
      </c>
      <c r="D157" s="18"/>
      <c r="E157" s="2" t="s">
        <v>1210</v>
      </c>
      <c r="G157" s="3">
        <v>46231</v>
      </c>
      <c r="H157" s="3"/>
      <c r="I157" s="3">
        <v>46231</v>
      </c>
      <c r="J157" s="1">
        <v>0</v>
      </c>
      <c r="K157" s="1">
        <v>0</v>
      </c>
      <c r="L157" s="1">
        <v>12</v>
      </c>
      <c r="M157" s="1">
        <v>0</v>
      </c>
      <c r="N157" s="1">
        <v>0</v>
      </c>
      <c r="O157" s="1">
        <v>0</v>
      </c>
      <c r="Q157" s="2" t="s">
        <v>50</v>
      </c>
      <c r="R157" s="6" t="s">
        <v>1208</v>
      </c>
      <c r="S157" s="2" t="s">
        <v>25</v>
      </c>
      <c r="T157" s="3"/>
      <c r="V157" s="3"/>
      <c r="W157" s="2" t="s">
        <v>95</v>
      </c>
    </row>
    <row r="158" spans="1:23" ht="41.25" customHeight="1" x14ac:dyDescent="0.25">
      <c r="A158" s="2" t="s">
        <v>38</v>
      </c>
      <c r="B158" s="5" t="s">
        <v>73</v>
      </c>
      <c r="C158" s="18" t="s">
        <v>23</v>
      </c>
      <c r="D158" s="18" t="s">
        <v>41</v>
      </c>
      <c r="E158" s="2" t="s">
        <v>1456</v>
      </c>
      <c r="F158" s="1">
        <v>56</v>
      </c>
      <c r="G158" s="3">
        <v>46132</v>
      </c>
      <c r="H158" s="3"/>
      <c r="I158" s="3">
        <v>46140</v>
      </c>
      <c r="J158" s="1">
        <v>8</v>
      </c>
      <c r="K158" s="1">
        <v>0</v>
      </c>
      <c r="L158" s="1">
        <v>192</v>
      </c>
      <c r="M158" s="1">
        <v>306</v>
      </c>
      <c r="N158" s="1">
        <v>65</v>
      </c>
      <c r="O158" s="1">
        <v>87</v>
      </c>
      <c r="P158" s="1">
        <v>329</v>
      </c>
      <c r="Q158" s="2" t="s">
        <v>51</v>
      </c>
      <c r="R158" s="6" t="s">
        <v>43</v>
      </c>
      <c r="S158" s="2" t="s">
        <v>25</v>
      </c>
      <c r="T158" s="3"/>
      <c r="V158" s="3"/>
      <c r="W158" s="2" t="s">
        <v>95</v>
      </c>
    </row>
    <row r="159" spans="1:23" ht="41.25" customHeight="1" x14ac:dyDescent="0.25">
      <c r="A159" s="2" t="s">
        <v>38</v>
      </c>
      <c r="B159" s="5" t="s">
        <v>73</v>
      </c>
      <c r="C159" s="18" t="s">
        <v>23</v>
      </c>
      <c r="D159" s="18"/>
      <c r="E159" s="2" t="s">
        <v>211</v>
      </c>
      <c r="F159" s="1">
        <v>16</v>
      </c>
      <c r="G159" s="3">
        <v>46140</v>
      </c>
      <c r="H159" s="3"/>
      <c r="I159" s="3">
        <v>46150</v>
      </c>
      <c r="J159" s="1">
        <v>10</v>
      </c>
      <c r="K159" s="1">
        <v>0</v>
      </c>
      <c r="L159" s="1">
        <v>240</v>
      </c>
      <c r="M159" s="1">
        <v>600</v>
      </c>
      <c r="N159" s="1">
        <v>0</v>
      </c>
      <c r="O159" s="1">
        <v>0</v>
      </c>
      <c r="Q159" s="2" t="s">
        <v>54</v>
      </c>
      <c r="R159" s="6" t="s">
        <v>1457</v>
      </c>
      <c r="S159" s="2" t="s">
        <v>25</v>
      </c>
      <c r="T159" s="3"/>
      <c r="V159" s="3"/>
      <c r="W159" s="2" t="s">
        <v>95</v>
      </c>
    </row>
    <row r="160" spans="1:23" ht="41.25" customHeight="1" x14ac:dyDescent="0.25">
      <c r="A160" s="2" t="s">
        <v>38</v>
      </c>
      <c r="B160" s="5" t="s">
        <v>73</v>
      </c>
      <c r="C160" s="18"/>
      <c r="D160" s="18"/>
      <c r="E160" s="2" t="s">
        <v>1157</v>
      </c>
      <c r="F160" s="1">
        <v>16</v>
      </c>
      <c r="G160" s="3">
        <v>46150</v>
      </c>
      <c r="H160" s="3"/>
      <c r="I160" s="3">
        <v>46156</v>
      </c>
      <c r="J160" s="1">
        <v>6</v>
      </c>
      <c r="K160" s="1">
        <v>0</v>
      </c>
      <c r="L160" s="1">
        <v>144</v>
      </c>
      <c r="M160" s="1">
        <v>800</v>
      </c>
      <c r="N160" s="1">
        <v>0</v>
      </c>
      <c r="O160" s="1">
        <v>0</v>
      </c>
      <c r="Q160" s="2" t="s">
        <v>96</v>
      </c>
      <c r="R160" s="6" t="s">
        <v>1158</v>
      </c>
      <c r="S160" s="2" t="s">
        <v>25</v>
      </c>
      <c r="T160" s="3"/>
      <c r="V160" s="3"/>
      <c r="W160" s="2" t="s">
        <v>95</v>
      </c>
    </row>
    <row r="161" spans="1:23" ht="86.25" customHeight="1" x14ac:dyDescent="0.25">
      <c r="A161" s="2" t="s">
        <v>38</v>
      </c>
      <c r="B161" s="5" t="s">
        <v>73</v>
      </c>
      <c r="C161" s="18"/>
      <c r="D161" s="18" t="s">
        <v>30</v>
      </c>
      <c r="E161" s="2" t="s">
        <v>209</v>
      </c>
      <c r="F161" s="1">
        <v>16</v>
      </c>
      <c r="G161" s="3">
        <v>46156</v>
      </c>
      <c r="H161" s="3"/>
      <c r="I161" s="3">
        <v>46170</v>
      </c>
      <c r="J161" s="1">
        <v>14</v>
      </c>
      <c r="K161" s="1">
        <v>0</v>
      </c>
      <c r="L161" s="1">
        <v>336</v>
      </c>
      <c r="M161" s="1">
        <v>0</v>
      </c>
      <c r="N161" s="1">
        <v>0</v>
      </c>
      <c r="O161" s="1">
        <v>0</v>
      </c>
      <c r="Q161" s="2" t="s">
        <v>1529</v>
      </c>
      <c r="R161" s="6" t="s">
        <v>1377</v>
      </c>
      <c r="S161" s="2" t="s">
        <v>25</v>
      </c>
      <c r="T161" s="3"/>
      <c r="V161" s="3"/>
      <c r="W161" s="2" t="s">
        <v>95</v>
      </c>
    </row>
    <row r="162" spans="1:23" ht="41.25" customHeight="1" x14ac:dyDescent="0.25">
      <c r="A162" s="2" t="s">
        <v>38</v>
      </c>
      <c r="B162" s="5" t="s">
        <v>73</v>
      </c>
      <c r="C162" s="18" t="s">
        <v>46</v>
      </c>
      <c r="D162" s="18"/>
      <c r="E162" s="2" t="s">
        <v>314</v>
      </c>
      <c r="F162" s="1">
        <v>16</v>
      </c>
      <c r="G162" s="3">
        <v>46170</v>
      </c>
      <c r="H162" s="3"/>
      <c r="I162" s="3">
        <v>46184</v>
      </c>
      <c r="J162" s="1">
        <v>14</v>
      </c>
      <c r="K162" s="1">
        <v>0</v>
      </c>
      <c r="L162" s="1">
        <v>336</v>
      </c>
      <c r="M162" s="1">
        <v>0</v>
      </c>
      <c r="N162" s="1">
        <v>0</v>
      </c>
      <c r="O162" s="1">
        <v>0</v>
      </c>
      <c r="Q162" s="2" t="s">
        <v>315</v>
      </c>
      <c r="R162" s="6" t="s">
        <v>316</v>
      </c>
      <c r="S162" s="2" t="s">
        <v>25</v>
      </c>
      <c r="T162" s="3"/>
      <c r="V162" s="3"/>
      <c r="W162" s="2" t="s">
        <v>95</v>
      </c>
    </row>
    <row r="163" spans="1:23" ht="41.25" customHeight="1" x14ac:dyDescent="0.25">
      <c r="A163" s="2" t="s">
        <v>38</v>
      </c>
      <c r="B163" s="5" t="s">
        <v>73</v>
      </c>
      <c r="C163" s="18"/>
      <c r="D163" s="18"/>
      <c r="E163" s="2" t="s">
        <v>1211</v>
      </c>
      <c r="G163" s="3">
        <v>46184</v>
      </c>
      <c r="H163" s="3"/>
      <c r="I163" s="3">
        <v>46194</v>
      </c>
      <c r="J163" s="1">
        <v>10</v>
      </c>
      <c r="K163" s="1">
        <v>0</v>
      </c>
      <c r="L163" s="1">
        <v>240</v>
      </c>
      <c r="M163" s="1">
        <v>1000</v>
      </c>
      <c r="N163" s="1">
        <v>0</v>
      </c>
      <c r="O163" s="1">
        <v>0</v>
      </c>
      <c r="Q163" s="2" t="s">
        <v>125</v>
      </c>
      <c r="R163" s="6" t="s">
        <v>291</v>
      </c>
      <c r="S163" s="2" t="s">
        <v>25</v>
      </c>
      <c r="T163" s="3"/>
      <c r="V163" s="3"/>
      <c r="W163" s="2" t="s">
        <v>95</v>
      </c>
    </row>
    <row r="164" spans="1:23" ht="41.25" customHeight="1" x14ac:dyDescent="0.25">
      <c r="A164" s="2" t="s">
        <v>38</v>
      </c>
      <c r="B164" s="5" t="s">
        <v>73</v>
      </c>
      <c r="C164" s="18"/>
      <c r="D164" s="18"/>
      <c r="E164" s="2" t="s">
        <v>1530</v>
      </c>
      <c r="F164" s="1">
        <v>2</v>
      </c>
      <c r="G164" s="3">
        <v>46194</v>
      </c>
      <c r="H164" s="3"/>
      <c r="I164" s="3">
        <v>46208</v>
      </c>
      <c r="J164" s="1">
        <v>14</v>
      </c>
      <c r="K164" s="1">
        <v>0</v>
      </c>
      <c r="L164" s="1">
        <v>336</v>
      </c>
      <c r="M164" s="1">
        <v>600</v>
      </c>
      <c r="N164" s="1">
        <v>0</v>
      </c>
      <c r="O164" s="1">
        <v>0</v>
      </c>
      <c r="Q164" s="2"/>
      <c r="R164" s="6" t="s">
        <v>1531</v>
      </c>
      <c r="S164" s="2" t="s">
        <v>25</v>
      </c>
      <c r="T164" s="3"/>
      <c r="V164" s="3"/>
      <c r="W164" s="2" t="s">
        <v>95</v>
      </c>
    </row>
    <row r="165" spans="1:23" ht="41.25" customHeight="1" x14ac:dyDescent="0.25">
      <c r="A165" s="2" t="s">
        <v>38</v>
      </c>
      <c r="B165" s="5" t="s">
        <v>73</v>
      </c>
      <c r="C165" s="18"/>
      <c r="D165" s="18"/>
      <c r="E165" s="2" t="s">
        <v>219</v>
      </c>
      <c r="G165" s="3">
        <v>46208</v>
      </c>
      <c r="H165" s="3"/>
      <c r="I165" s="3">
        <v>46214</v>
      </c>
      <c r="J165" s="1">
        <v>6</v>
      </c>
      <c r="K165" s="1">
        <v>0</v>
      </c>
      <c r="L165" s="1">
        <v>144</v>
      </c>
      <c r="M165" s="1">
        <v>800</v>
      </c>
      <c r="N165" s="1">
        <v>0</v>
      </c>
      <c r="O165" s="1">
        <v>0</v>
      </c>
      <c r="Q165" s="2" t="s">
        <v>51</v>
      </c>
      <c r="R165" s="6" t="s">
        <v>26</v>
      </c>
      <c r="S165" s="2" t="s">
        <v>25</v>
      </c>
      <c r="T165" s="3"/>
      <c r="V165" s="3"/>
      <c r="W165" s="2" t="s">
        <v>95</v>
      </c>
    </row>
    <row r="166" spans="1:23" ht="41.25" customHeight="1" x14ac:dyDescent="0.25">
      <c r="A166" s="2" t="s">
        <v>38</v>
      </c>
      <c r="B166" s="5" t="s">
        <v>73</v>
      </c>
      <c r="C166" s="18"/>
      <c r="D166" s="18"/>
      <c r="E166" s="2" t="s">
        <v>219</v>
      </c>
      <c r="G166" s="3">
        <v>46214</v>
      </c>
      <c r="H166" s="3"/>
      <c r="I166" s="3">
        <v>46220</v>
      </c>
      <c r="J166" s="1">
        <v>6</v>
      </c>
      <c r="K166" s="1">
        <v>0</v>
      </c>
      <c r="L166" s="1">
        <v>144</v>
      </c>
      <c r="M166" s="1">
        <v>800</v>
      </c>
      <c r="N166" s="1">
        <v>0</v>
      </c>
      <c r="O166" s="1">
        <v>0</v>
      </c>
      <c r="Q166" s="2" t="s">
        <v>51</v>
      </c>
      <c r="R166" s="6" t="s">
        <v>26</v>
      </c>
      <c r="S166" s="2" t="s">
        <v>25</v>
      </c>
      <c r="T166" s="3"/>
      <c r="V166" s="3"/>
      <c r="W166" s="2" t="s">
        <v>95</v>
      </c>
    </row>
    <row r="167" spans="1:23" ht="41.25" customHeight="1" x14ac:dyDescent="0.25">
      <c r="A167" s="2" t="s">
        <v>38</v>
      </c>
      <c r="B167" s="5" t="s">
        <v>73</v>
      </c>
      <c r="C167" s="18"/>
      <c r="D167" s="18"/>
      <c r="E167" s="2" t="s">
        <v>219</v>
      </c>
      <c r="G167" s="3">
        <v>46220</v>
      </c>
      <c r="H167" s="3"/>
      <c r="I167" s="3">
        <v>46226</v>
      </c>
      <c r="J167" s="1">
        <v>6</v>
      </c>
      <c r="K167" s="1">
        <v>0</v>
      </c>
      <c r="L167" s="1">
        <v>144</v>
      </c>
      <c r="M167" s="1">
        <v>800</v>
      </c>
      <c r="N167" s="1">
        <v>0</v>
      </c>
      <c r="O167" s="1">
        <v>0</v>
      </c>
      <c r="Q167" s="2" t="s">
        <v>51</v>
      </c>
      <c r="R167" s="6" t="s">
        <v>26</v>
      </c>
      <c r="S167" s="2" t="s">
        <v>25</v>
      </c>
      <c r="T167" s="3"/>
      <c r="V167" s="3"/>
      <c r="W167" s="2" t="s">
        <v>95</v>
      </c>
    </row>
    <row r="168" spans="1:23" ht="41.25" customHeight="1" x14ac:dyDescent="0.25">
      <c r="A168" s="2" t="s">
        <v>38</v>
      </c>
      <c r="B168" s="5" t="s">
        <v>73</v>
      </c>
      <c r="C168" s="18"/>
      <c r="D168" s="18"/>
      <c r="E168" s="2" t="s">
        <v>219</v>
      </c>
      <c r="G168" s="3">
        <v>46226</v>
      </c>
      <c r="H168" s="3"/>
      <c r="I168" s="3">
        <v>46232</v>
      </c>
      <c r="J168" s="1">
        <v>6</v>
      </c>
      <c r="K168" s="1">
        <v>0</v>
      </c>
      <c r="L168" s="1">
        <v>144</v>
      </c>
      <c r="M168" s="1">
        <v>800</v>
      </c>
      <c r="N168" s="1">
        <v>0</v>
      </c>
      <c r="O168" s="1">
        <v>0</v>
      </c>
      <c r="Q168" s="2" t="s">
        <v>51</v>
      </c>
      <c r="R168" s="6" t="s">
        <v>26</v>
      </c>
      <c r="S168" s="2" t="s">
        <v>25</v>
      </c>
      <c r="T168" s="3"/>
      <c r="V168" s="3"/>
      <c r="W168" s="2" t="s">
        <v>95</v>
      </c>
    </row>
    <row r="169" spans="1:23" ht="41.25" customHeight="1" x14ac:dyDescent="0.25">
      <c r="A169" s="2" t="s">
        <v>38</v>
      </c>
      <c r="B169" s="5" t="s">
        <v>74</v>
      </c>
      <c r="C169" s="18"/>
      <c r="D169" s="18" t="s">
        <v>41</v>
      </c>
      <c r="E169" s="2" t="s">
        <v>149</v>
      </c>
      <c r="F169" s="1">
        <v>84</v>
      </c>
      <c r="G169" s="3">
        <v>46121</v>
      </c>
      <c r="H169" s="3"/>
      <c r="I169" s="3">
        <v>46142</v>
      </c>
      <c r="J169" s="1">
        <v>21</v>
      </c>
      <c r="K169" s="1">
        <v>0</v>
      </c>
      <c r="L169" s="1">
        <v>504</v>
      </c>
      <c r="M169" s="1">
        <v>164</v>
      </c>
      <c r="N169" s="1">
        <v>64</v>
      </c>
      <c r="O169" s="1">
        <v>43</v>
      </c>
      <c r="P169" s="1">
        <v>0</v>
      </c>
      <c r="Q169" s="2" t="s">
        <v>103</v>
      </c>
      <c r="R169" s="6" t="s">
        <v>1458</v>
      </c>
      <c r="S169" s="2" t="s">
        <v>1378</v>
      </c>
      <c r="T169" s="3"/>
      <c r="V169" s="3"/>
      <c r="W169" s="2" t="s">
        <v>231</v>
      </c>
    </row>
    <row r="170" spans="1:23" ht="41.25" customHeight="1" x14ac:dyDescent="0.25">
      <c r="A170" s="2" t="s">
        <v>38</v>
      </c>
      <c r="B170" s="5" t="s">
        <v>74</v>
      </c>
      <c r="C170" s="18"/>
      <c r="D170" s="18"/>
      <c r="E170" s="2" t="s">
        <v>219</v>
      </c>
      <c r="G170" s="3">
        <v>46142</v>
      </c>
      <c r="H170" s="3"/>
      <c r="I170" s="3">
        <v>46149</v>
      </c>
      <c r="J170" s="1">
        <v>7</v>
      </c>
      <c r="K170" s="1">
        <v>0</v>
      </c>
      <c r="L170" s="1">
        <v>168</v>
      </c>
      <c r="M170" s="1">
        <v>0</v>
      </c>
      <c r="N170" s="1">
        <v>0</v>
      </c>
      <c r="O170" s="1">
        <v>0</v>
      </c>
      <c r="Q170" s="2" t="s">
        <v>51</v>
      </c>
      <c r="R170" s="6" t="s">
        <v>26</v>
      </c>
      <c r="S170" s="2" t="s">
        <v>25</v>
      </c>
      <c r="T170" s="3"/>
      <c r="V170" s="3"/>
      <c r="W170" s="2" t="s">
        <v>95</v>
      </c>
    </row>
    <row r="171" spans="1:23" ht="41.25" customHeight="1" x14ac:dyDescent="0.25">
      <c r="A171" s="2" t="s">
        <v>38</v>
      </c>
      <c r="B171" s="5" t="s">
        <v>74</v>
      </c>
      <c r="C171" s="18"/>
      <c r="D171" s="18"/>
      <c r="E171" s="2" t="s">
        <v>219</v>
      </c>
      <c r="G171" s="3">
        <v>46149</v>
      </c>
      <c r="H171" s="3"/>
      <c r="I171" s="3">
        <v>46156</v>
      </c>
      <c r="J171" s="1">
        <v>7</v>
      </c>
      <c r="K171" s="1">
        <v>0</v>
      </c>
      <c r="L171" s="1">
        <v>168</v>
      </c>
      <c r="M171" s="1">
        <v>0</v>
      </c>
      <c r="N171" s="1">
        <v>0</v>
      </c>
      <c r="O171" s="1">
        <v>0</v>
      </c>
      <c r="Q171" s="2" t="s">
        <v>51</v>
      </c>
      <c r="R171" s="6" t="s">
        <v>26</v>
      </c>
      <c r="S171" s="2" t="s">
        <v>25</v>
      </c>
      <c r="T171" s="3"/>
      <c r="V171" s="3"/>
      <c r="W171" s="2" t="s">
        <v>95</v>
      </c>
    </row>
    <row r="172" spans="1:23" ht="41.25" customHeight="1" x14ac:dyDescent="0.25">
      <c r="A172" s="2" t="s">
        <v>38</v>
      </c>
      <c r="B172" s="5" t="s">
        <v>74</v>
      </c>
      <c r="C172" s="18"/>
      <c r="D172" s="18" t="s">
        <v>30</v>
      </c>
      <c r="E172" s="2" t="s">
        <v>1160</v>
      </c>
      <c r="F172" s="1">
        <v>84</v>
      </c>
      <c r="G172" s="3">
        <v>46156</v>
      </c>
      <c r="H172" s="3"/>
      <c r="I172" s="3">
        <v>46160</v>
      </c>
      <c r="J172" s="1">
        <v>4</v>
      </c>
      <c r="K172" s="1">
        <v>0</v>
      </c>
      <c r="L172" s="1">
        <v>96</v>
      </c>
      <c r="M172" s="1">
        <v>1200</v>
      </c>
      <c r="N172" s="1">
        <v>0</v>
      </c>
      <c r="O172" s="1">
        <v>0</v>
      </c>
      <c r="P172" s="1">
        <v>0</v>
      </c>
      <c r="Q172" s="2" t="s">
        <v>53</v>
      </c>
      <c r="R172" s="6" t="s">
        <v>34</v>
      </c>
      <c r="S172" s="2" t="s">
        <v>1318</v>
      </c>
      <c r="T172" s="3"/>
      <c r="V172" s="3"/>
      <c r="W172" s="2" t="s">
        <v>27</v>
      </c>
    </row>
    <row r="173" spans="1:23" ht="41.25" customHeight="1" x14ac:dyDescent="0.25">
      <c r="A173" s="2" t="s">
        <v>38</v>
      </c>
      <c r="B173" s="5" t="s">
        <v>74</v>
      </c>
      <c r="C173" s="18" t="s">
        <v>23</v>
      </c>
      <c r="D173" s="18" t="s">
        <v>30</v>
      </c>
      <c r="E173" s="2" t="s">
        <v>334</v>
      </c>
      <c r="F173" s="1">
        <v>84</v>
      </c>
      <c r="G173" s="3">
        <v>46160</v>
      </c>
      <c r="H173" s="3"/>
      <c r="I173" s="3">
        <v>46162</v>
      </c>
      <c r="J173" s="1">
        <v>2</v>
      </c>
      <c r="K173" s="1">
        <v>0</v>
      </c>
      <c r="L173" s="1">
        <v>48</v>
      </c>
      <c r="M173" s="1">
        <v>500</v>
      </c>
      <c r="N173" s="1">
        <v>0</v>
      </c>
      <c r="O173" s="1">
        <v>0</v>
      </c>
      <c r="P173" s="1">
        <v>0</v>
      </c>
      <c r="Q173" s="2" t="s">
        <v>97</v>
      </c>
      <c r="R173" s="6" t="s">
        <v>336</v>
      </c>
      <c r="S173" s="2" t="s">
        <v>1317</v>
      </c>
      <c r="T173" s="3"/>
      <c r="V173" s="3"/>
      <c r="W173" s="2" t="s">
        <v>28</v>
      </c>
    </row>
    <row r="174" spans="1:23" ht="41.25" customHeight="1" x14ac:dyDescent="0.25">
      <c r="A174" s="2" t="s">
        <v>38</v>
      </c>
      <c r="B174" s="5" t="s">
        <v>74</v>
      </c>
      <c r="C174" s="18" t="s">
        <v>23</v>
      </c>
      <c r="D174" s="18" t="s">
        <v>229</v>
      </c>
      <c r="E174" s="2" t="s">
        <v>117</v>
      </c>
      <c r="F174" s="1">
        <v>15</v>
      </c>
      <c r="G174" s="3">
        <v>46162</v>
      </c>
      <c r="H174" s="3"/>
      <c r="I174" s="3">
        <v>46168</v>
      </c>
      <c r="J174" s="1">
        <v>6</v>
      </c>
      <c r="K174" s="1">
        <v>0</v>
      </c>
      <c r="L174" s="1">
        <v>144</v>
      </c>
      <c r="M174" s="1">
        <v>250</v>
      </c>
      <c r="N174" s="1">
        <v>0</v>
      </c>
      <c r="O174" s="1">
        <v>205</v>
      </c>
      <c r="P174" s="1">
        <v>0</v>
      </c>
      <c r="Q174" s="2" t="s">
        <v>89</v>
      </c>
      <c r="R174" s="6" t="s">
        <v>107</v>
      </c>
      <c r="S174" s="2" t="s">
        <v>25</v>
      </c>
      <c r="T174" s="3">
        <v>46204</v>
      </c>
      <c r="U174" s="1">
        <v>3</v>
      </c>
      <c r="V174" s="3">
        <v>46212</v>
      </c>
      <c r="W174" s="2" t="s">
        <v>28</v>
      </c>
    </row>
    <row r="175" spans="1:23" ht="41.25" customHeight="1" x14ac:dyDescent="0.25">
      <c r="A175" s="2" t="s">
        <v>38</v>
      </c>
      <c r="B175" s="5" t="s">
        <v>74</v>
      </c>
      <c r="C175" s="18"/>
      <c r="D175" s="18" t="s">
        <v>30</v>
      </c>
      <c r="E175" s="2" t="s">
        <v>181</v>
      </c>
      <c r="F175" s="1">
        <v>15</v>
      </c>
      <c r="G175" s="3">
        <v>46168</v>
      </c>
      <c r="H175" s="3"/>
      <c r="I175" s="3">
        <v>46176</v>
      </c>
      <c r="J175" s="1">
        <v>8</v>
      </c>
      <c r="K175" s="1">
        <v>0</v>
      </c>
      <c r="L175" s="1">
        <v>192</v>
      </c>
      <c r="M175" s="1">
        <v>81</v>
      </c>
      <c r="N175" s="1">
        <v>1</v>
      </c>
      <c r="O175" s="1">
        <v>65</v>
      </c>
      <c r="P175" s="1">
        <v>373</v>
      </c>
      <c r="Q175" s="2" t="s">
        <v>51</v>
      </c>
      <c r="R175" s="6" t="s">
        <v>168</v>
      </c>
      <c r="S175" s="2" t="s">
        <v>25</v>
      </c>
      <c r="T175" s="3"/>
      <c r="V175" s="3"/>
      <c r="W175" s="2" t="s">
        <v>27</v>
      </c>
    </row>
    <row r="176" spans="1:23" ht="41.25" customHeight="1" x14ac:dyDescent="0.25">
      <c r="A176" s="2" t="s">
        <v>38</v>
      </c>
      <c r="B176" s="5" t="s">
        <v>74</v>
      </c>
      <c r="C176" s="18"/>
      <c r="D176" s="18" t="s">
        <v>1159</v>
      </c>
      <c r="E176" s="2" t="s">
        <v>117</v>
      </c>
      <c r="F176" s="1">
        <v>15</v>
      </c>
      <c r="G176" s="3">
        <v>46176</v>
      </c>
      <c r="H176" s="3"/>
      <c r="I176" s="3">
        <v>46186</v>
      </c>
      <c r="J176" s="1">
        <v>10</v>
      </c>
      <c r="K176" s="1">
        <v>0</v>
      </c>
      <c r="L176" s="1">
        <v>240</v>
      </c>
      <c r="M176" s="1">
        <v>250</v>
      </c>
      <c r="N176" s="1">
        <v>0</v>
      </c>
      <c r="O176" s="1">
        <v>205</v>
      </c>
      <c r="P176" s="1">
        <v>0</v>
      </c>
      <c r="Q176" s="2" t="s">
        <v>62</v>
      </c>
      <c r="R176" s="6" t="s">
        <v>37</v>
      </c>
      <c r="S176" s="2" t="s">
        <v>25</v>
      </c>
      <c r="T176" s="3">
        <v>46204</v>
      </c>
      <c r="U176" s="1">
        <v>3</v>
      </c>
      <c r="V176" s="3">
        <v>46212</v>
      </c>
      <c r="W176" s="2" t="s">
        <v>28</v>
      </c>
    </row>
    <row r="177" spans="1:23" ht="41.25" customHeight="1" x14ac:dyDescent="0.25">
      <c r="A177" s="2" t="s">
        <v>38</v>
      </c>
      <c r="B177" s="5" t="s">
        <v>74</v>
      </c>
      <c r="C177" s="18"/>
      <c r="D177" s="18"/>
      <c r="E177" s="2" t="s">
        <v>219</v>
      </c>
      <c r="G177" s="3">
        <v>46186</v>
      </c>
      <c r="H177" s="3"/>
      <c r="I177" s="3">
        <v>46194</v>
      </c>
      <c r="J177" s="1">
        <v>8</v>
      </c>
      <c r="K177" s="1">
        <v>0</v>
      </c>
      <c r="L177" s="1">
        <v>192</v>
      </c>
      <c r="M177" s="1">
        <v>0</v>
      </c>
      <c r="N177" s="1">
        <v>0</v>
      </c>
      <c r="O177" s="1">
        <v>0</v>
      </c>
      <c r="Q177" s="2" t="s">
        <v>51</v>
      </c>
      <c r="R177" s="6" t="s">
        <v>26</v>
      </c>
      <c r="S177" s="2" t="s">
        <v>25</v>
      </c>
      <c r="T177" s="3"/>
      <c r="V177" s="3"/>
      <c r="W177" s="2" t="s">
        <v>95</v>
      </c>
    </row>
    <row r="178" spans="1:23" ht="41.25" customHeight="1" x14ac:dyDescent="0.25">
      <c r="A178" s="2" t="s">
        <v>39</v>
      </c>
      <c r="B178" s="5" t="s">
        <v>74</v>
      </c>
      <c r="C178" s="18"/>
      <c r="D178" s="18"/>
      <c r="E178" s="2" t="s">
        <v>241</v>
      </c>
      <c r="G178" s="3">
        <v>46194</v>
      </c>
      <c r="H178" s="3"/>
      <c r="I178" s="3">
        <v>46202</v>
      </c>
      <c r="J178" s="1">
        <v>8</v>
      </c>
      <c r="K178" s="1">
        <v>0</v>
      </c>
      <c r="L178" s="1">
        <v>192</v>
      </c>
      <c r="M178" s="1">
        <v>0</v>
      </c>
      <c r="N178" s="1">
        <v>0</v>
      </c>
      <c r="O178" s="1">
        <v>0</v>
      </c>
      <c r="Q178" s="2" t="s">
        <v>51</v>
      </c>
      <c r="R178" s="6" t="s">
        <v>43</v>
      </c>
      <c r="S178" s="2" t="s">
        <v>25</v>
      </c>
      <c r="T178" s="3"/>
      <c r="V178" s="3"/>
      <c r="W178" s="2" t="s">
        <v>95</v>
      </c>
    </row>
    <row r="179" spans="1:23" ht="41.25" customHeight="1" x14ac:dyDescent="0.25">
      <c r="A179" s="2" t="s">
        <v>38</v>
      </c>
      <c r="B179" s="5" t="s">
        <v>75</v>
      </c>
      <c r="C179" s="18" t="s">
        <v>23</v>
      </c>
      <c r="D179" s="18" t="s">
        <v>41</v>
      </c>
      <c r="E179" s="2" t="s">
        <v>850</v>
      </c>
      <c r="F179" s="1">
        <v>50</v>
      </c>
      <c r="G179" s="3">
        <v>46130</v>
      </c>
      <c r="H179" s="3"/>
      <c r="I179" s="3">
        <v>46143</v>
      </c>
      <c r="J179" s="1">
        <v>13</v>
      </c>
      <c r="K179" s="1">
        <v>0</v>
      </c>
      <c r="L179" s="1">
        <v>312</v>
      </c>
      <c r="M179" s="1">
        <v>140</v>
      </c>
      <c r="N179" s="1">
        <v>2</v>
      </c>
      <c r="O179" s="1">
        <v>112</v>
      </c>
      <c r="P179" s="1">
        <v>332</v>
      </c>
      <c r="Q179" s="2" t="s">
        <v>103</v>
      </c>
      <c r="R179" s="6" t="s">
        <v>1470</v>
      </c>
      <c r="S179" s="2" t="s">
        <v>25</v>
      </c>
      <c r="T179" s="3"/>
      <c r="V179" s="3"/>
      <c r="W179" s="2" t="s">
        <v>95</v>
      </c>
    </row>
    <row r="180" spans="1:23" ht="41.25" customHeight="1" x14ac:dyDescent="0.25">
      <c r="A180" s="2" t="s">
        <v>38</v>
      </c>
      <c r="B180" s="5" t="s">
        <v>75</v>
      </c>
      <c r="C180" s="18" t="s">
        <v>23</v>
      </c>
      <c r="D180" s="18" t="s">
        <v>1403</v>
      </c>
      <c r="E180" s="2" t="s">
        <v>1134</v>
      </c>
      <c r="F180" s="1">
        <v>50</v>
      </c>
      <c r="G180" s="3">
        <v>46143</v>
      </c>
      <c r="H180" s="3"/>
      <c r="I180" s="3">
        <v>46151</v>
      </c>
      <c r="J180" s="1">
        <v>8</v>
      </c>
      <c r="K180" s="1">
        <v>0</v>
      </c>
      <c r="L180" s="1">
        <v>192</v>
      </c>
      <c r="M180" s="1">
        <v>273</v>
      </c>
      <c r="N180" s="1">
        <v>30</v>
      </c>
      <c r="O180" s="1">
        <v>155</v>
      </c>
      <c r="P180" s="1">
        <v>320</v>
      </c>
      <c r="Q180" s="2" t="s">
        <v>272</v>
      </c>
      <c r="R180" s="6" t="s">
        <v>1389</v>
      </c>
      <c r="S180" s="2" t="s">
        <v>1313</v>
      </c>
      <c r="T180" s="3">
        <v>46164</v>
      </c>
      <c r="U180" s="1">
        <v>2</v>
      </c>
      <c r="V180" s="3">
        <v>46170</v>
      </c>
      <c r="W180" s="2" t="s">
        <v>27</v>
      </c>
    </row>
    <row r="181" spans="1:23" ht="41.25" customHeight="1" x14ac:dyDescent="0.25">
      <c r="A181" s="2" t="s">
        <v>38</v>
      </c>
      <c r="B181" s="5" t="s">
        <v>75</v>
      </c>
      <c r="C181" s="18"/>
      <c r="D181" s="18"/>
      <c r="E181" s="2" t="s">
        <v>245</v>
      </c>
      <c r="F181" s="1">
        <v>50</v>
      </c>
      <c r="G181" s="3">
        <v>46151</v>
      </c>
      <c r="H181" s="3"/>
      <c r="I181" s="3">
        <v>46158</v>
      </c>
      <c r="J181" s="1">
        <v>7</v>
      </c>
      <c r="K181" s="1">
        <v>0</v>
      </c>
      <c r="L181" s="1">
        <v>168</v>
      </c>
      <c r="M181" s="1">
        <v>800</v>
      </c>
      <c r="N181" s="1">
        <v>0</v>
      </c>
      <c r="O181" s="1">
        <v>0</v>
      </c>
      <c r="P181" s="1">
        <v>0</v>
      </c>
      <c r="Q181" s="2" t="s">
        <v>54</v>
      </c>
      <c r="R181" s="6" t="s">
        <v>146</v>
      </c>
      <c r="S181" s="2" t="s">
        <v>1314</v>
      </c>
      <c r="T181" s="3"/>
      <c r="V181" s="3"/>
      <c r="W181" s="2" t="s">
        <v>29</v>
      </c>
    </row>
    <row r="182" spans="1:23" ht="41.25" customHeight="1" x14ac:dyDescent="0.25">
      <c r="A182" s="2" t="s">
        <v>38</v>
      </c>
      <c r="B182" s="5" t="s">
        <v>75</v>
      </c>
      <c r="C182" s="18"/>
      <c r="D182" s="18"/>
      <c r="E182" s="2" t="s">
        <v>219</v>
      </c>
      <c r="G182" s="3">
        <v>46158</v>
      </c>
      <c r="H182" s="3"/>
      <c r="I182" s="3">
        <v>46166</v>
      </c>
      <c r="J182" s="1">
        <v>8</v>
      </c>
      <c r="K182" s="1">
        <v>0</v>
      </c>
      <c r="L182" s="1">
        <v>192</v>
      </c>
      <c r="M182" s="1">
        <v>0</v>
      </c>
      <c r="N182" s="1">
        <v>0</v>
      </c>
      <c r="Q182" s="2" t="s">
        <v>51</v>
      </c>
      <c r="R182" s="6" t="s">
        <v>43</v>
      </c>
      <c r="S182" s="2" t="s">
        <v>25</v>
      </c>
      <c r="T182" s="3"/>
      <c r="V182" s="3"/>
      <c r="W182" s="2" t="s">
        <v>95</v>
      </c>
    </row>
    <row r="183" spans="1:23" ht="41.25" customHeight="1" x14ac:dyDescent="0.25">
      <c r="A183" s="2" t="s">
        <v>38</v>
      </c>
      <c r="B183" s="5" t="s">
        <v>75</v>
      </c>
      <c r="C183" s="18"/>
      <c r="D183" s="18"/>
      <c r="E183" s="2" t="s">
        <v>331</v>
      </c>
      <c r="F183" s="1">
        <v>1</v>
      </c>
      <c r="G183" s="3">
        <v>46166</v>
      </c>
      <c r="H183" s="3"/>
      <c r="I183" s="3">
        <v>46169</v>
      </c>
      <c r="J183" s="1">
        <v>3</v>
      </c>
      <c r="K183" s="1">
        <v>0</v>
      </c>
      <c r="L183" s="1">
        <v>72</v>
      </c>
      <c r="M183" s="1">
        <v>0</v>
      </c>
      <c r="N183" s="1">
        <v>0</v>
      </c>
      <c r="O183" s="1">
        <v>0</v>
      </c>
      <c r="P183" s="1">
        <v>100</v>
      </c>
      <c r="Q183" s="2" t="s">
        <v>61</v>
      </c>
      <c r="R183" s="6" t="s">
        <v>261</v>
      </c>
      <c r="S183" s="2" t="s">
        <v>25</v>
      </c>
      <c r="T183" s="3"/>
      <c r="V183" s="3"/>
      <c r="W183" s="2" t="s">
        <v>95</v>
      </c>
    </row>
    <row r="184" spans="1:23" ht="41.25" customHeight="1" x14ac:dyDescent="0.25">
      <c r="A184" s="2" t="s">
        <v>38</v>
      </c>
      <c r="B184" s="5" t="s">
        <v>75</v>
      </c>
      <c r="C184" s="18"/>
      <c r="D184" s="18"/>
      <c r="E184" s="2" t="s">
        <v>332</v>
      </c>
      <c r="G184" s="3">
        <v>46169</v>
      </c>
      <c r="H184" s="3"/>
      <c r="I184" s="3">
        <v>46172</v>
      </c>
      <c r="J184" s="1">
        <v>3</v>
      </c>
      <c r="K184" s="1">
        <v>0</v>
      </c>
      <c r="L184" s="1">
        <v>72</v>
      </c>
      <c r="M184" s="1">
        <v>0</v>
      </c>
      <c r="N184" s="1">
        <v>0</v>
      </c>
      <c r="O184" s="1">
        <v>0</v>
      </c>
      <c r="P184" s="1">
        <v>100</v>
      </c>
      <c r="Q184" s="2" t="s">
        <v>61</v>
      </c>
      <c r="R184" s="6" t="s">
        <v>261</v>
      </c>
      <c r="S184" s="2" t="s">
        <v>25</v>
      </c>
      <c r="T184" s="3"/>
      <c r="V184" s="3"/>
      <c r="W184" s="2" t="s">
        <v>95</v>
      </c>
    </row>
    <row r="185" spans="1:23" ht="41.25" customHeight="1" x14ac:dyDescent="0.25">
      <c r="A185" s="2" t="s">
        <v>38</v>
      </c>
      <c r="B185" s="5" t="s">
        <v>75</v>
      </c>
      <c r="C185" s="18"/>
      <c r="D185" s="18"/>
      <c r="E185" s="2" t="s">
        <v>219</v>
      </c>
      <c r="G185" s="3">
        <v>46172</v>
      </c>
      <c r="H185" s="3"/>
      <c r="I185" s="3">
        <v>46180</v>
      </c>
      <c r="J185" s="1">
        <v>8</v>
      </c>
      <c r="K185" s="1">
        <v>0</v>
      </c>
      <c r="L185" s="1">
        <v>192</v>
      </c>
      <c r="M185" s="1">
        <v>0</v>
      </c>
      <c r="N185" s="1">
        <v>0</v>
      </c>
      <c r="O185" s="1">
        <v>0</v>
      </c>
      <c r="Q185" s="2" t="s">
        <v>51</v>
      </c>
      <c r="R185" s="6" t="s">
        <v>43</v>
      </c>
      <c r="S185" s="2" t="s">
        <v>25</v>
      </c>
      <c r="T185" s="3"/>
      <c r="V185" s="3"/>
      <c r="W185" s="2" t="s">
        <v>95</v>
      </c>
    </row>
    <row r="186" spans="1:23" ht="41.25" customHeight="1" x14ac:dyDescent="0.25">
      <c r="A186" s="2" t="s">
        <v>38</v>
      </c>
      <c r="B186" s="5" t="s">
        <v>75</v>
      </c>
      <c r="C186" s="18"/>
      <c r="D186" s="18" t="s">
        <v>119</v>
      </c>
      <c r="E186" s="2" t="s">
        <v>1201</v>
      </c>
      <c r="F186" s="1">
        <v>11</v>
      </c>
      <c r="G186" s="3">
        <v>46180</v>
      </c>
      <c r="H186" s="3"/>
      <c r="I186" s="3">
        <v>46190</v>
      </c>
      <c r="J186" s="1">
        <v>10</v>
      </c>
      <c r="K186" s="1">
        <v>0</v>
      </c>
      <c r="L186" s="1">
        <v>240</v>
      </c>
      <c r="M186" s="1">
        <v>191</v>
      </c>
      <c r="N186" s="1">
        <v>15</v>
      </c>
      <c r="O186" s="1">
        <v>132</v>
      </c>
      <c r="P186" s="1">
        <v>320</v>
      </c>
      <c r="Q186" s="2" t="s">
        <v>48</v>
      </c>
      <c r="R186" s="6" t="s">
        <v>1202</v>
      </c>
      <c r="S186" s="2" t="s">
        <v>1347</v>
      </c>
      <c r="T186" s="3">
        <v>46187</v>
      </c>
      <c r="U186" s="1">
        <v>3</v>
      </c>
      <c r="V186" s="3">
        <v>46193</v>
      </c>
      <c r="W186" s="2" t="s">
        <v>29</v>
      </c>
    </row>
    <row r="187" spans="1:23" ht="41.25" customHeight="1" x14ac:dyDescent="0.25">
      <c r="A187" s="2" t="s">
        <v>38</v>
      </c>
      <c r="B187" s="5" t="s">
        <v>75</v>
      </c>
      <c r="C187" s="18"/>
      <c r="D187" s="18"/>
      <c r="E187" s="2" t="s">
        <v>219</v>
      </c>
      <c r="G187" s="3">
        <v>46190</v>
      </c>
      <c r="H187" s="3"/>
      <c r="I187" s="3">
        <v>46198</v>
      </c>
      <c r="J187" s="1">
        <v>8</v>
      </c>
      <c r="K187" s="1">
        <v>0</v>
      </c>
      <c r="L187" s="1">
        <v>192</v>
      </c>
      <c r="M187" s="1">
        <v>0</v>
      </c>
      <c r="N187" s="1">
        <v>0</v>
      </c>
      <c r="O187" s="1">
        <v>0</v>
      </c>
      <c r="Q187" s="2" t="s">
        <v>51</v>
      </c>
      <c r="R187" s="6" t="s">
        <v>43</v>
      </c>
      <c r="S187" s="2" t="s">
        <v>25</v>
      </c>
      <c r="T187" s="3"/>
      <c r="V187" s="3"/>
      <c r="W187" s="2" t="s">
        <v>95</v>
      </c>
    </row>
    <row r="188" spans="1:23" ht="41.25" customHeight="1" x14ac:dyDescent="0.25">
      <c r="A188" s="2" t="s">
        <v>38</v>
      </c>
      <c r="B188" s="5" t="s">
        <v>113</v>
      </c>
      <c r="C188" s="18" t="s">
        <v>23</v>
      </c>
      <c r="D188" s="18" t="s">
        <v>41</v>
      </c>
      <c r="E188" s="2" t="s">
        <v>1069</v>
      </c>
      <c r="F188" s="1">
        <v>88</v>
      </c>
      <c r="G188" s="3">
        <v>46098</v>
      </c>
      <c r="H188" s="3"/>
      <c r="I188" s="3">
        <v>46134</v>
      </c>
      <c r="J188" s="1">
        <v>36</v>
      </c>
      <c r="K188" s="1">
        <v>0</v>
      </c>
      <c r="L188" s="1">
        <v>864</v>
      </c>
      <c r="M188" s="1">
        <v>79</v>
      </c>
      <c r="N188" s="1">
        <v>20</v>
      </c>
      <c r="O188" s="1">
        <v>52</v>
      </c>
      <c r="P188" s="1">
        <v>320</v>
      </c>
      <c r="Q188" s="2" t="s">
        <v>103</v>
      </c>
      <c r="R188" s="6" t="s">
        <v>1154</v>
      </c>
      <c r="S188" s="2" t="s">
        <v>1348</v>
      </c>
      <c r="T188" s="3"/>
      <c r="V188" s="3"/>
      <c r="W188" s="2" t="s">
        <v>25</v>
      </c>
    </row>
    <row r="189" spans="1:23" ht="41.25" customHeight="1" x14ac:dyDescent="0.25">
      <c r="A189" s="2" t="s">
        <v>38</v>
      </c>
      <c r="B189" s="5" t="s">
        <v>113</v>
      </c>
      <c r="C189" s="18" t="s">
        <v>23</v>
      </c>
      <c r="D189" s="18" t="s">
        <v>1288</v>
      </c>
      <c r="E189" s="2" t="s">
        <v>235</v>
      </c>
      <c r="F189" s="1">
        <v>88</v>
      </c>
      <c r="G189" s="3">
        <v>46134</v>
      </c>
      <c r="H189" s="3"/>
      <c r="I189" s="3">
        <v>46144</v>
      </c>
      <c r="J189" s="1">
        <v>10</v>
      </c>
      <c r="K189" s="1">
        <v>0</v>
      </c>
      <c r="L189" s="1">
        <v>240</v>
      </c>
      <c r="M189" s="1">
        <v>641</v>
      </c>
      <c r="N189" s="1">
        <v>30</v>
      </c>
      <c r="O189" s="1">
        <v>367</v>
      </c>
      <c r="P189" s="1">
        <v>320</v>
      </c>
      <c r="Q189" s="2" t="s">
        <v>48</v>
      </c>
      <c r="R189" s="6" t="s">
        <v>298</v>
      </c>
      <c r="S189" s="2" t="s">
        <v>1247</v>
      </c>
      <c r="T189" s="3">
        <v>46113</v>
      </c>
      <c r="U189" s="1">
        <v>3</v>
      </c>
      <c r="V189" s="3">
        <v>46120</v>
      </c>
      <c r="W189" s="2" t="s">
        <v>28</v>
      </c>
    </row>
    <row r="190" spans="1:23" ht="41.25" customHeight="1" x14ac:dyDescent="0.25">
      <c r="A190" s="2" t="s">
        <v>38</v>
      </c>
      <c r="B190" s="5" t="s">
        <v>113</v>
      </c>
      <c r="C190" s="18"/>
      <c r="D190" s="18"/>
      <c r="E190" s="2" t="s">
        <v>1532</v>
      </c>
      <c r="F190" s="1">
        <v>88</v>
      </c>
      <c r="G190" s="3">
        <v>46144</v>
      </c>
      <c r="H190" s="3"/>
      <c r="I190" s="3">
        <v>46148</v>
      </c>
      <c r="J190" s="1">
        <v>4</v>
      </c>
      <c r="K190" s="1">
        <v>0</v>
      </c>
      <c r="L190" s="1">
        <v>96</v>
      </c>
      <c r="M190" s="1">
        <v>500</v>
      </c>
      <c r="N190" s="1">
        <v>0</v>
      </c>
      <c r="O190" s="1">
        <v>0</v>
      </c>
      <c r="Q190" s="2" t="s">
        <v>53</v>
      </c>
      <c r="R190" s="6" t="s">
        <v>796</v>
      </c>
      <c r="S190" s="2" t="s">
        <v>25</v>
      </c>
      <c r="T190" s="3"/>
      <c r="V190" s="3"/>
      <c r="W190" s="2" t="s">
        <v>95</v>
      </c>
    </row>
    <row r="191" spans="1:23" ht="41.25" customHeight="1" x14ac:dyDescent="0.25">
      <c r="A191" s="2" t="s">
        <v>38</v>
      </c>
      <c r="B191" s="5" t="s">
        <v>113</v>
      </c>
      <c r="C191" s="18"/>
      <c r="D191" s="18"/>
      <c r="E191" s="2" t="s">
        <v>1533</v>
      </c>
      <c r="F191" s="1">
        <v>88</v>
      </c>
      <c r="G191" s="3">
        <v>46148</v>
      </c>
      <c r="H191" s="3"/>
      <c r="I191" s="3">
        <v>46158</v>
      </c>
      <c r="J191" s="1">
        <v>10</v>
      </c>
      <c r="K191" s="1">
        <v>0</v>
      </c>
      <c r="L191" s="1">
        <v>240</v>
      </c>
      <c r="M191" s="1">
        <v>500</v>
      </c>
      <c r="N191" s="1">
        <v>0</v>
      </c>
      <c r="O191" s="1">
        <v>0</v>
      </c>
      <c r="P191" s="1">
        <v>437</v>
      </c>
      <c r="Q191" s="2" t="s">
        <v>54</v>
      </c>
      <c r="R191" s="6" t="s">
        <v>44</v>
      </c>
      <c r="S191" s="2" t="s">
        <v>25</v>
      </c>
      <c r="T191" s="3"/>
      <c r="V191" s="3"/>
      <c r="W191" s="2" t="s">
        <v>95</v>
      </c>
    </row>
    <row r="192" spans="1:23" ht="41.25" customHeight="1" x14ac:dyDescent="0.25">
      <c r="A192" s="2" t="s">
        <v>38</v>
      </c>
      <c r="B192" s="5" t="s">
        <v>113</v>
      </c>
      <c r="C192" s="18"/>
      <c r="D192" s="18"/>
      <c r="E192" s="2" t="s">
        <v>1426</v>
      </c>
      <c r="F192" s="1">
        <v>179</v>
      </c>
      <c r="G192" s="3">
        <v>46158</v>
      </c>
      <c r="H192" s="3"/>
      <c r="I192" s="3">
        <v>46159</v>
      </c>
      <c r="J192" s="1">
        <v>1</v>
      </c>
      <c r="K192" s="1">
        <v>0</v>
      </c>
      <c r="L192" s="1">
        <v>24</v>
      </c>
      <c r="M192" s="1">
        <v>160</v>
      </c>
      <c r="N192" s="1">
        <v>0</v>
      </c>
      <c r="O192" s="1">
        <v>0</v>
      </c>
      <c r="Q192" s="2" t="s">
        <v>53</v>
      </c>
      <c r="R192" s="6" t="s">
        <v>1427</v>
      </c>
      <c r="S192" s="2" t="s">
        <v>25</v>
      </c>
      <c r="T192" s="3"/>
      <c r="V192" s="3"/>
      <c r="W192" s="2" t="s">
        <v>95</v>
      </c>
    </row>
    <row r="193" spans="1:23" ht="41.25" customHeight="1" x14ac:dyDescent="0.25">
      <c r="A193" s="2" t="s">
        <v>38</v>
      </c>
      <c r="B193" s="5" t="s">
        <v>113</v>
      </c>
      <c r="C193" s="18"/>
      <c r="D193" s="18"/>
      <c r="E193" s="2" t="s">
        <v>219</v>
      </c>
      <c r="G193" s="3">
        <v>46159</v>
      </c>
      <c r="H193" s="3"/>
      <c r="I193" s="3">
        <v>46167</v>
      </c>
      <c r="J193" s="1">
        <v>8</v>
      </c>
      <c r="K193" s="1">
        <v>0</v>
      </c>
      <c r="L193" s="1">
        <v>192</v>
      </c>
      <c r="M193" s="1">
        <v>0</v>
      </c>
      <c r="N193" s="1">
        <v>0</v>
      </c>
      <c r="O193" s="1">
        <v>0</v>
      </c>
      <c r="Q193" s="2" t="s">
        <v>51</v>
      </c>
      <c r="R193" s="6" t="s">
        <v>43</v>
      </c>
      <c r="S193" s="2" t="s">
        <v>25</v>
      </c>
      <c r="T193" s="3"/>
      <c r="V193" s="3"/>
      <c r="W193" s="2" t="s">
        <v>95</v>
      </c>
    </row>
    <row r="194" spans="1:23" ht="41.25" customHeight="1" x14ac:dyDescent="0.25">
      <c r="A194" s="2" t="s">
        <v>38</v>
      </c>
      <c r="B194" s="5" t="s">
        <v>113</v>
      </c>
      <c r="C194" s="18"/>
      <c r="D194" s="18"/>
      <c r="E194" s="2" t="s">
        <v>1238</v>
      </c>
      <c r="F194" s="1">
        <v>179</v>
      </c>
      <c r="G194" s="3">
        <v>46167</v>
      </c>
      <c r="H194" s="3"/>
      <c r="I194" s="3">
        <v>46177</v>
      </c>
      <c r="J194" s="1">
        <v>10</v>
      </c>
      <c r="K194" s="1">
        <v>0</v>
      </c>
      <c r="L194" s="1">
        <v>240</v>
      </c>
      <c r="M194" s="1">
        <v>297</v>
      </c>
      <c r="N194" s="1">
        <v>10</v>
      </c>
      <c r="O194" s="1">
        <v>217</v>
      </c>
      <c r="P194" s="1">
        <v>320</v>
      </c>
      <c r="Q194" s="2" t="s">
        <v>48</v>
      </c>
      <c r="R194" s="6" t="s">
        <v>291</v>
      </c>
      <c r="S194" s="2" t="s">
        <v>1342</v>
      </c>
      <c r="T194" s="3"/>
      <c r="V194" s="3"/>
      <c r="W194" s="2" t="s">
        <v>28</v>
      </c>
    </row>
    <row r="195" spans="1:23" ht="41.25" customHeight="1" x14ac:dyDescent="0.25">
      <c r="A195" s="2" t="s">
        <v>38</v>
      </c>
      <c r="B195" s="5" t="s">
        <v>113</v>
      </c>
      <c r="C195" s="18"/>
      <c r="D195" s="18"/>
      <c r="E195" s="2" t="s">
        <v>1426</v>
      </c>
      <c r="F195" s="1">
        <v>179</v>
      </c>
      <c r="G195" s="3">
        <v>46177</v>
      </c>
      <c r="H195" s="3"/>
      <c r="I195" s="3">
        <v>46179</v>
      </c>
      <c r="J195" s="1">
        <v>2</v>
      </c>
      <c r="K195" s="1">
        <v>0</v>
      </c>
      <c r="L195" s="1">
        <v>48</v>
      </c>
      <c r="M195" s="1">
        <v>160</v>
      </c>
      <c r="N195" s="1">
        <v>0</v>
      </c>
      <c r="O195" s="1">
        <v>0</v>
      </c>
      <c r="Q195" s="2" t="s">
        <v>48</v>
      </c>
      <c r="R195" s="6" t="s">
        <v>1417</v>
      </c>
      <c r="S195" s="2" t="s">
        <v>25</v>
      </c>
      <c r="T195" s="3"/>
      <c r="V195" s="3"/>
      <c r="W195" s="2" t="s">
        <v>95</v>
      </c>
    </row>
    <row r="196" spans="1:23" ht="41.25" customHeight="1" x14ac:dyDescent="0.25">
      <c r="A196" s="2" t="s">
        <v>39</v>
      </c>
      <c r="B196" s="5" t="s">
        <v>113</v>
      </c>
      <c r="C196" s="18"/>
      <c r="D196" s="18" t="s">
        <v>30</v>
      </c>
      <c r="E196" s="2" t="s">
        <v>1188</v>
      </c>
      <c r="G196" s="3">
        <v>46179</v>
      </c>
      <c r="H196" s="3"/>
      <c r="I196" s="3">
        <v>46189</v>
      </c>
      <c r="J196" s="1">
        <v>10</v>
      </c>
      <c r="K196" s="1">
        <v>0</v>
      </c>
      <c r="L196" s="1">
        <v>240</v>
      </c>
      <c r="M196" s="1">
        <v>0</v>
      </c>
      <c r="N196" s="1">
        <v>0</v>
      </c>
      <c r="O196" s="1">
        <v>0</v>
      </c>
      <c r="Q196" s="2" t="s">
        <v>53</v>
      </c>
      <c r="R196" s="6" t="s">
        <v>1349</v>
      </c>
      <c r="S196" s="2" t="s">
        <v>25</v>
      </c>
      <c r="T196" s="3"/>
      <c r="V196" s="3"/>
      <c r="W196" s="2" t="s">
        <v>95</v>
      </c>
    </row>
    <row r="197" spans="1:23" ht="41.25" customHeight="1" x14ac:dyDescent="0.25">
      <c r="A197" s="2" t="s">
        <v>38</v>
      </c>
      <c r="B197" s="5" t="s">
        <v>113</v>
      </c>
      <c r="C197" s="18"/>
      <c r="D197" s="18"/>
      <c r="E197" s="2" t="s">
        <v>219</v>
      </c>
      <c r="G197" s="3">
        <v>46189</v>
      </c>
      <c r="H197" s="3"/>
      <c r="I197" s="3">
        <v>46197</v>
      </c>
      <c r="J197" s="1">
        <v>8</v>
      </c>
      <c r="K197" s="1">
        <v>0</v>
      </c>
      <c r="L197" s="1">
        <v>192</v>
      </c>
      <c r="M197" s="1">
        <v>0</v>
      </c>
      <c r="N197" s="1">
        <v>0</v>
      </c>
      <c r="O197" s="1">
        <v>0</v>
      </c>
      <c r="Q197" s="2" t="s">
        <v>51</v>
      </c>
      <c r="R197" s="6" t="s">
        <v>43</v>
      </c>
      <c r="S197" s="2" t="s">
        <v>25</v>
      </c>
      <c r="T197" s="3"/>
      <c r="V197" s="3"/>
      <c r="W197" s="2" t="s">
        <v>95</v>
      </c>
    </row>
    <row r="198" spans="1:23" ht="41.25" customHeight="1" x14ac:dyDescent="0.25">
      <c r="A198" s="2" t="s">
        <v>38</v>
      </c>
      <c r="B198" s="5" t="s">
        <v>113</v>
      </c>
      <c r="C198" s="18"/>
      <c r="D198" s="18"/>
      <c r="E198" s="2" t="s">
        <v>219</v>
      </c>
      <c r="G198" s="3">
        <v>46197</v>
      </c>
      <c r="H198" s="3"/>
      <c r="I198" s="3">
        <v>46205</v>
      </c>
      <c r="J198" s="1">
        <v>8</v>
      </c>
      <c r="K198" s="1">
        <v>0</v>
      </c>
      <c r="L198" s="1">
        <v>192</v>
      </c>
      <c r="M198" s="1">
        <v>0</v>
      </c>
      <c r="N198" s="1">
        <v>0</v>
      </c>
      <c r="O198" s="1">
        <v>0</v>
      </c>
      <c r="Q198" s="2" t="s">
        <v>51</v>
      </c>
      <c r="R198" s="6" t="s">
        <v>43</v>
      </c>
      <c r="S198" s="2" t="s">
        <v>25</v>
      </c>
      <c r="T198" s="3"/>
      <c r="V198" s="3"/>
      <c r="W198" s="2" t="s">
        <v>95</v>
      </c>
    </row>
    <row r="199" spans="1:23" ht="41.25" customHeight="1" x14ac:dyDescent="0.25">
      <c r="A199" s="2" t="s">
        <v>38</v>
      </c>
      <c r="B199" s="5" t="s">
        <v>113</v>
      </c>
      <c r="C199" s="18"/>
      <c r="D199" s="18"/>
      <c r="E199" s="2" t="s">
        <v>1250</v>
      </c>
      <c r="F199" s="1">
        <v>12</v>
      </c>
      <c r="G199" s="3">
        <v>46205</v>
      </c>
      <c r="H199" s="3"/>
      <c r="I199" s="3">
        <v>46215</v>
      </c>
      <c r="J199" s="1">
        <v>10</v>
      </c>
      <c r="K199" s="1">
        <v>0</v>
      </c>
      <c r="L199" s="1">
        <v>240</v>
      </c>
      <c r="M199" s="1">
        <v>179</v>
      </c>
      <c r="N199" s="1">
        <v>20</v>
      </c>
      <c r="O199" s="1">
        <v>116</v>
      </c>
      <c r="P199" s="1">
        <v>320</v>
      </c>
      <c r="Q199" s="2" t="s">
        <v>89</v>
      </c>
      <c r="R199" s="6" t="s">
        <v>1251</v>
      </c>
      <c r="S199" s="2" t="s">
        <v>25</v>
      </c>
      <c r="T199" s="3">
        <v>46213</v>
      </c>
      <c r="U199" s="1">
        <v>6</v>
      </c>
      <c r="V199" s="3">
        <v>46225</v>
      </c>
      <c r="W199" s="2" t="s">
        <v>29</v>
      </c>
    </row>
    <row r="200" spans="1:23" ht="41.25" customHeight="1" x14ac:dyDescent="0.25">
      <c r="A200" s="2" t="s">
        <v>38</v>
      </c>
      <c r="B200" s="5" t="s">
        <v>113</v>
      </c>
      <c r="C200" s="18"/>
      <c r="D200" s="18" t="s">
        <v>30</v>
      </c>
      <c r="E200" s="2" t="s">
        <v>240</v>
      </c>
      <c r="F200" s="1">
        <v>170</v>
      </c>
      <c r="G200" s="3">
        <v>46215</v>
      </c>
      <c r="H200" s="3"/>
      <c r="I200" s="3">
        <v>46223</v>
      </c>
      <c r="J200" s="1">
        <v>8</v>
      </c>
      <c r="K200" s="1">
        <v>0</v>
      </c>
      <c r="L200" s="1">
        <v>192</v>
      </c>
      <c r="M200" s="1">
        <v>261</v>
      </c>
      <c r="N200" s="1">
        <v>6</v>
      </c>
      <c r="O200" s="1">
        <v>198</v>
      </c>
      <c r="P200" s="1">
        <v>320</v>
      </c>
      <c r="Q200" s="2" t="s">
        <v>57</v>
      </c>
      <c r="R200" s="6" t="s">
        <v>31</v>
      </c>
      <c r="S200" s="2" t="s">
        <v>1232</v>
      </c>
      <c r="T200" s="3"/>
      <c r="V200" s="3"/>
      <c r="W200" s="2" t="s">
        <v>27</v>
      </c>
    </row>
    <row r="201" spans="1:23" ht="41.25" customHeight="1" x14ac:dyDescent="0.25">
      <c r="A201" s="2" t="s">
        <v>38</v>
      </c>
      <c r="B201" s="5" t="s">
        <v>113</v>
      </c>
      <c r="C201" s="18"/>
      <c r="D201" s="18" t="s">
        <v>30</v>
      </c>
      <c r="E201" s="2" t="s">
        <v>1416</v>
      </c>
      <c r="F201" s="1">
        <v>170</v>
      </c>
      <c r="G201" s="3">
        <v>46223</v>
      </c>
      <c r="H201" s="3"/>
      <c r="I201" s="3">
        <v>46225</v>
      </c>
      <c r="J201" s="1">
        <v>2</v>
      </c>
      <c r="K201" s="1">
        <v>0</v>
      </c>
      <c r="L201" s="1">
        <v>48</v>
      </c>
      <c r="M201" s="1">
        <v>16</v>
      </c>
      <c r="N201" s="1">
        <v>0</v>
      </c>
      <c r="O201" s="1">
        <v>0</v>
      </c>
      <c r="Q201" s="2" t="s">
        <v>53</v>
      </c>
      <c r="R201" s="6" t="s">
        <v>1417</v>
      </c>
      <c r="S201" s="2" t="s">
        <v>25</v>
      </c>
      <c r="T201" s="3"/>
      <c r="V201" s="3"/>
      <c r="W201" s="2" t="s">
        <v>95</v>
      </c>
    </row>
    <row r="202" spans="1:23" ht="41.25" customHeight="1" x14ac:dyDescent="0.25">
      <c r="A202" s="2" t="s">
        <v>38</v>
      </c>
      <c r="B202" s="5" t="s">
        <v>76</v>
      </c>
      <c r="C202" s="18" t="s">
        <v>23</v>
      </c>
      <c r="D202" s="18" t="s">
        <v>41</v>
      </c>
      <c r="E202" s="2" t="s">
        <v>273</v>
      </c>
      <c r="F202" s="1">
        <v>2</v>
      </c>
      <c r="G202" s="3">
        <v>46126</v>
      </c>
      <c r="H202" s="3"/>
      <c r="I202" s="3">
        <v>46137</v>
      </c>
      <c r="J202" s="1">
        <v>11</v>
      </c>
      <c r="K202" s="1">
        <v>0</v>
      </c>
      <c r="L202" s="1">
        <v>264</v>
      </c>
      <c r="M202" s="1">
        <v>227</v>
      </c>
      <c r="N202" s="1">
        <v>80</v>
      </c>
      <c r="O202" s="1">
        <v>37</v>
      </c>
      <c r="P202" s="1">
        <v>143</v>
      </c>
      <c r="Q202" s="2" t="s">
        <v>51</v>
      </c>
      <c r="R202" s="6" t="s">
        <v>43</v>
      </c>
      <c r="S202" s="2" t="s">
        <v>25</v>
      </c>
      <c r="T202" s="3"/>
      <c r="V202" s="3"/>
      <c r="W202" s="2" t="s">
        <v>27</v>
      </c>
    </row>
    <row r="203" spans="1:23" ht="41.25" customHeight="1" x14ac:dyDescent="0.25">
      <c r="A203" s="2" t="s">
        <v>38</v>
      </c>
      <c r="B203" s="5" t="s">
        <v>76</v>
      </c>
      <c r="C203" s="18" t="s">
        <v>23</v>
      </c>
      <c r="D203" s="18" t="s">
        <v>116</v>
      </c>
      <c r="E203" s="2" t="s">
        <v>277</v>
      </c>
      <c r="F203" s="1">
        <v>2</v>
      </c>
      <c r="G203" s="3">
        <v>46137</v>
      </c>
      <c r="H203" s="3"/>
      <c r="I203" s="3">
        <v>46145</v>
      </c>
      <c r="J203" s="1">
        <v>8</v>
      </c>
      <c r="K203" s="1">
        <v>0</v>
      </c>
      <c r="L203" s="1">
        <v>192</v>
      </c>
      <c r="M203" s="1">
        <v>937</v>
      </c>
      <c r="N203" s="1">
        <v>97</v>
      </c>
      <c r="O203" s="1">
        <v>23</v>
      </c>
      <c r="P203" s="1">
        <v>320</v>
      </c>
      <c r="Q203" s="2" t="s">
        <v>51</v>
      </c>
      <c r="R203" s="6" t="s">
        <v>43</v>
      </c>
      <c r="S203" s="2" t="s">
        <v>25</v>
      </c>
      <c r="T203" s="3"/>
      <c r="V203" s="3"/>
      <c r="W203" s="2" t="s">
        <v>27</v>
      </c>
    </row>
    <row r="204" spans="1:23" ht="41.25" customHeight="1" x14ac:dyDescent="0.25">
      <c r="A204" s="2" t="s">
        <v>38</v>
      </c>
      <c r="B204" s="5" t="s">
        <v>76</v>
      </c>
      <c r="C204" s="18" t="s">
        <v>23</v>
      </c>
      <c r="D204" s="18" t="s">
        <v>30</v>
      </c>
      <c r="E204" s="2" t="s">
        <v>292</v>
      </c>
      <c r="F204" s="1">
        <v>3</v>
      </c>
      <c r="G204" s="3">
        <v>46145</v>
      </c>
      <c r="H204" s="3"/>
      <c r="I204" s="3">
        <v>46153</v>
      </c>
      <c r="J204" s="1">
        <v>8</v>
      </c>
      <c r="K204" s="1">
        <v>0</v>
      </c>
      <c r="L204" s="1">
        <v>192</v>
      </c>
      <c r="M204" s="1">
        <v>516</v>
      </c>
      <c r="N204" s="1">
        <v>94</v>
      </c>
      <c r="O204" s="1">
        <v>25</v>
      </c>
      <c r="P204" s="1">
        <v>110</v>
      </c>
      <c r="Q204" s="2" t="s">
        <v>51</v>
      </c>
      <c r="R204" s="6" t="s">
        <v>26</v>
      </c>
      <c r="S204" s="2" t="s">
        <v>25</v>
      </c>
      <c r="T204" s="3"/>
      <c r="V204" s="3"/>
      <c r="W204" s="2" t="s">
        <v>27</v>
      </c>
    </row>
    <row r="205" spans="1:23" ht="41.25" customHeight="1" x14ac:dyDescent="0.25">
      <c r="A205" s="2" t="s">
        <v>38</v>
      </c>
      <c r="B205" s="5" t="s">
        <v>76</v>
      </c>
      <c r="C205" s="18" t="s">
        <v>23</v>
      </c>
      <c r="D205" s="18"/>
      <c r="E205" s="2" t="s">
        <v>338</v>
      </c>
      <c r="F205" s="1">
        <v>22</v>
      </c>
      <c r="G205" s="3">
        <v>46153</v>
      </c>
      <c r="H205" s="3"/>
      <c r="I205" s="3">
        <v>46159</v>
      </c>
      <c r="J205" s="1">
        <v>6</v>
      </c>
      <c r="K205" s="1">
        <v>0</v>
      </c>
      <c r="L205" s="1">
        <v>144</v>
      </c>
      <c r="M205" s="1">
        <v>7</v>
      </c>
      <c r="N205" s="1">
        <v>6</v>
      </c>
      <c r="O205" s="1">
        <v>5</v>
      </c>
      <c r="P205" s="1">
        <v>207</v>
      </c>
      <c r="Q205" s="2" t="s">
        <v>61</v>
      </c>
      <c r="R205" s="6" t="s">
        <v>339</v>
      </c>
      <c r="S205" s="2" t="s">
        <v>25</v>
      </c>
      <c r="T205" s="3"/>
      <c r="V205" s="3"/>
      <c r="W205" s="2" t="s">
        <v>95</v>
      </c>
    </row>
    <row r="206" spans="1:23" ht="41.25" customHeight="1" x14ac:dyDescent="0.25">
      <c r="A206" s="2" t="s">
        <v>38</v>
      </c>
      <c r="B206" s="5" t="s">
        <v>76</v>
      </c>
      <c r="C206" s="18"/>
      <c r="D206" s="18"/>
      <c r="E206" s="2" t="s">
        <v>219</v>
      </c>
      <c r="G206" s="3">
        <v>46159</v>
      </c>
      <c r="H206" s="3"/>
      <c r="I206" s="3">
        <v>46167</v>
      </c>
      <c r="J206" s="1">
        <v>8</v>
      </c>
      <c r="K206" s="1">
        <v>0</v>
      </c>
      <c r="L206" s="1">
        <v>192</v>
      </c>
      <c r="M206" s="1">
        <v>0</v>
      </c>
      <c r="N206" s="1">
        <v>0</v>
      </c>
      <c r="O206" s="1">
        <v>0</v>
      </c>
      <c r="Q206" s="2" t="s">
        <v>51</v>
      </c>
      <c r="R206" s="6" t="s">
        <v>43</v>
      </c>
      <c r="S206" s="2" t="s">
        <v>25</v>
      </c>
      <c r="T206" s="3"/>
      <c r="V206" s="3"/>
      <c r="W206" s="2" t="s">
        <v>95</v>
      </c>
    </row>
    <row r="207" spans="1:23" ht="41.25" customHeight="1" x14ac:dyDescent="0.25">
      <c r="A207" s="2" t="s">
        <v>38</v>
      </c>
      <c r="B207" s="5" t="s">
        <v>76</v>
      </c>
      <c r="C207" s="18"/>
      <c r="D207" s="18"/>
      <c r="E207" s="2" t="s">
        <v>241</v>
      </c>
      <c r="G207" s="3">
        <v>46167</v>
      </c>
      <c r="H207" s="3"/>
      <c r="I207" s="3">
        <v>46175</v>
      </c>
      <c r="J207" s="1">
        <v>8</v>
      </c>
      <c r="K207" s="1">
        <v>0</v>
      </c>
      <c r="L207" s="1">
        <v>192</v>
      </c>
      <c r="M207" s="1">
        <v>0</v>
      </c>
      <c r="N207" s="1">
        <v>0</v>
      </c>
      <c r="O207" s="1">
        <v>0</v>
      </c>
      <c r="Q207" s="2" t="s">
        <v>51</v>
      </c>
      <c r="R207" s="6" t="s">
        <v>43</v>
      </c>
      <c r="S207" s="2" t="s">
        <v>25</v>
      </c>
      <c r="T207" s="3"/>
      <c r="V207" s="3"/>
      <c r="W207" s="2" t="s">
        <v>95</v>
      </c>
    </row>
    <row r="208" spans="1:23" ht="41.25" customHeight="1" x14ac:dyDescent="0.25">
      <c r="A208" s="2" t="s">
        <v>38</v>
      </c>
      <c r="B208" s="5" t="s">
        <v>76</v>
      </c>
      <c r="C208" s="18" t="s">
        <v>23</v>
      </c>
      <c r="D208" s="18"/>
      <c r="E208" s="2" t="s">
        <v>1284</v>
      </c>
      <c r="F208" s="1">
        <v>9</v>
      </c>
      <c r="G208" s="3">
        <v>46175</v>
      </c>
      <c r="H208" s="3"/>
      <c r="I208" s="3">
        <v>46187</v>
      </c>
      <c r="J208" s="1">
        <v>12</v>
      </c>
      <c r="K208" s="1">
        <v>0</v>
      </c>
      <c r="L208" s="1">
        <v>288</v>
      </c>
      <c r="M208" s="1">
        <v>300</v>
      </c>
      <c r="N208" s="1">
        <v>0</v>
      </c>
      <c r="O208" s="1">
        <v>0</v>
      </c>
      <c r="P208" s="1">
        <v>0</v>
      </c>
      <c r="Q208" s="2" t="s">
        <v>227</v>
      </c>
      <c r="R208" s="6" t="s">
        <v>1285</v>
      </c>
      <c r="S208" s="2" t="s">
        <v>25</v>
      </c>
      <c r="T208" s="3"/>
      <c r="V208" s="3"/>
      <c r="W208" s="2" t="s">
        <v>29</v>
      </c>
    </row>
    <row r="209" spans="1:23" ht="41.25" customHeight="1" x14ac:dyDescent="0.25">
      <c r="A209" s="2" t="s">
        <v>39</v>
      </c>
      <c r="B209" s="5" t="s">
        <v>77</v>
      </c>
      <c r="C209" s="18" t="s">
        <v>23</v>
      </c>
      <c r="D209" s="18" t="s">
        <v>41</v>
      </c>
      <c r="E209" s="2" t="s">
        <v>1404</v>
      </c>
      <c r="F209" s="1">
        <v>35</v>
      </c>
      <c r="G209" s="3">
        <v>46127</v>
      </c>
      <c r="H209" s="3"/>
      <c r="I209" s="3">
        <v>46134</v>
      </c>
      <c r="J209" s="1">
        <v>7</v>
      </c>
      <c r="K209" s="1">
        <v>0</v>
      </c>
      <c r="L209" s="1">
        <v>168</v>
      </c>
      <c r="M209" s="1">
        <v>989</v>
      </c>
      <c r="N209" s="1">
        <v>95</v>
      </c>
      <c r="O209" s="1">
        <v>43</v>
      </c>
      <c r="P209" s="1">
        <v>93</v>
      </c>
      <c r="Q209" s="2" t="s">
        <v>51</v>
      </c>
      <c r="R209" s="6" t="s">
        <v>43</v>
      </c>
      <c r="S209" s="2" t="s">
        <v>25</v>
      </c>
      <c r="T209" s="3"/>
      <c r="V209" s="3"/>
      <c r="W209" s="2" t="s">
        <v>95</v>
      </c>
    </row>
    <row r="210" spans="1:23" ht="41.25" customHeight="1" x14ac:dyDescent="0.25">
      <c r="A210" s="2" t="s">
        <v>39</v>
      </c>
      <c r="B210" s="5" t="s">
        <v>77</v>
      </c>
      <c r="C210" s="18" t="s">
        <v>23</v>
      </c>
      <c r="D210" s="18" t="s">
        <v>1459</v>
      </c>
      <c r="E210" s="2" t="s">
        <v>263</v>
      </c>
      <c r="F210" s="1">
        <v>37</v>
      </c>
      <c r="G210" s="3">
        <v>46134</v>
      </c>
      <c r="H210" s="3"/>
      <c r="I210" s="3">
        <v>46158</v>
      </c>
      <c r="J210" s="1">
        <v>24</v>
      </c>
      <c r="K210" s="1">
        <v>0</v>
      </c>
      <c r="L210" s="1">
        <v>576</v>
      </c>
      <c r="M210" s="1">
        <v>689</v>
      </c>
      <c r="N210" s="1">
        <v>87</v>
      </c>
      <c r="O210" s="1">
        <v>74</v>
      </c>
      <c r="P210" s="1">
        <v>211</v>
      </c>
      <c r="Q210" s="2" t="s">
        <v>89</v>
      </c>
      <c r="R210" s="6" t="s">
        <v>226</v>
      </c>
      <c r="S210" s="2" t="s">
        <v>25</v>
      </c>
      <c r="T210" s="3">
        <v>46146</v>
      </c>
      <c r="U210" s="1">
        <v>2</v>
      </c>
      <c r="V210" s="3">
        <v>46152</v>
      </c>
      <c r="W210" s="2" t="s">
        <v>35</v>
      </c>
    </row>
    <row r="211" spans="1:23" ht="41.25" customHeight="1" x14ac:dyDescent="0.25">
      <c r="A211" s="2" t="s">
        <v>39</v>
      </c>
      <c r="B211" s="5" t="s">
        <v>77</v>
      </c>
      <c r="C211" s="18"/>
      <c r="D211" s="18"/>
      <c r="E211" s="2" t="s">
        <v>1460</v>
      </c>
      <c r="F211" s="1">
        <v>37</v>
      </c>
      <c r="G211" s="3">
        <v>46158</v>
      </c>
      <c r="H211" s="3"/>
      <c r="I211" s="3">
        <v>46166</v>
      </c>
      <c r="J211" s="1">
        <v>8</v>
      </c>
      <c r="K211" s="1">
        <v>0</v>
      </c>
      <c r="L211" s="1">
        <v>192</v>
      </c>
      <c r="M211" s="1">
        <v>29</v>
      </c>
      <c r="N211" s="1">
        <v>12</v>
      </c>
      <c r="O211" s="1">
        <v>21</v>
      </c>
      <c r="P211" s="1">
        <v>8389</v>
      </c>
      <c r="Q211" s="2" t="s">
        <v>51</v>
      </c>
      <c r="R211" s="6" t="s">
        <v>1461</v>
      </c>
      <c r="S211" s="2" t="s">
        <v>25</v>
      </c>
      <c r="T211" s="3"/>
      <c r="V211" s="3"/>
      <c r="W211" s="2" t="s">
        <v>95</v>
      </c>
    </row>
    <row r="212" spans="1:23" ht="41.25" customHeight="1" x14ac:dyDescent="0.25">
      <c r="A212" s="2" t="s">
        <v>39</v>
      </c>
      <c r="B212" s="5" t="s">
        <v>77</v>
      </c>
      <c r="C212" s="18" t="s">
        <v>23</v>
      </c>
      <c r="D212" s="18"/>
      <c r="E212" s="2" t="s">
        <v>355</v>
      </c>
      <c r="F212" s="1">
        <v>37</v>
      </c>
      <c r="G212" s="3">
        <v>46166</v>
      </c>
      <c r="H212" s="3"/>
      <c r="I212" s="3">
        <v>46177</v>
      </c>
      <c r="J212" s="1">
        <v>11</v>
      </c>
      <c r="K212" s="1">
        <v>0</v>
      </c>
      <c r="L212" s="1">
        <v>264</v>
      </c>
      <c r="M212" s="1">
        <v>1100</v>
      </c>
      <c r="N212" s="1">
        <v>0</v>
      </c>
      <c r="O212" s="1">
        <v>31</v>
      </c>
      <c r="P212" s="1">
        <v>0</v>
      </c>
      <c r="Q212" s="2" t="s">
        <v>54</v>
      </c>
      <c r="R212" s="6" t="s">
        <v>44</v>
      </c>
      <c r="S212" s="2" t="s">
        <v>1351</v>
      </c>
      <c r="T212" s="3"/>
      <c r="V212" s="3"/>
      <c r="W212" s="2" t="s">
        <v>1227</v>
      </c>
    </row>
    <row r="213" spans="1:23" ht="41.25" customHeight="1" x14ac:dyDescent="0.25">
      <c r="A213" s="2" t="s">
        <v>39</v>
      </c>
      <c r="B213" s="5" t="s">
        <v>77</v>
      </c>
      <c r="C213" s="18"/>
      <c r="D213" s="18" t="s">
        <v>274</v>
      </c>
      <c r="E213" s="2" t="s">
        <v>1452</v>
      </c>
      <c r="F213" s="1">
        <v>716</v>
      </c>
      <c r="G213" s="3">
        <v>46177</v>
      </c>
      <c r="H213" s="3"/>
      <c r="I213" s="3">
        <v>46185</v>
      </c>
      <c r="J213" s="1">
        <v>8</v>
      </c>
      <c r="K213" s="1">
        <v>0</v>
      </c>
      <c r="L213" s="1">
        <v>192</v>
      </c>
      <c r="M213" s="1">
        <v>500</v>
      </c>
      <c r="N213" s="1">
        <v>92</v>
      </c>
      <c r="O213" s="1">
        <v>35</v>
      </c>
      <c r="P213" s="1">
        <v>430</v>
      </c>
      <c r="Q213" s="2" t="s">
        <v>154</v>
      </c>
      <c r="R213" s="6" t="s">
        <v>1453</v>
      </c>
      <c r="S213" s="2" t="s">
        <v>1454</v>
      </c>
      <c r="T213" s="3"/>
      <c r="V213" s="3"/>
      <c r="W213" s="2" t="s">
        <v>27</v>
      </c>
    </row>
    <row r="214" spans="1:23" ht="41.25" customHeight="1" x14ac:dyDescent="0.25">
      <c r="A214" s="2" t="s">
        <v>39</v>
      </c>
      <c r="B214" s="5" t="s">
        <v>77</v>
      </c>
      <c r="C214" s="18"/>
      <c r="D214" s="18"/>
      <c r="E214" s="2" t="s">
        <v>649</v>
      </c>
      <c r="F214" s="1">
        <v>2</v>
      </c>
      <c r="G214" s="3">
        <v>46185</v>
      </c>
      <c r="H214" s="3"/>
      <c r="I214" s="3">
        <v>46199</v>
      </c>
      <c r="J214" s="1">
        <v>14</v>
      </c>
      <c r="K214" s="1">
        <v>0</v>
      </c>
      <c r="L214" s="1">
        <v>336</v>
      </c>
      <c r="M214" s="1">
        <v>267</v>
      </c>
      <c r="N214" s="1">
        <v>93</v>
      </c>
      <c r="O214" s="1">
        <v>16</v>
      </c>
      <c r="P214" s="1">
        <v>156</v>
      </c>
      <c r="Q214" s="2" t="s">
        <v>103</v>
      </c>
      <c r="R214" s="6" t="s">
        <v>1455</v>
      </c>
      <c r="S214" s="2" t="s">
        <v>25</v>
      </c>
      <c r="T214" s="3"/>
      <c r="V214" s="3"/>
      <c r="W214" s="2" t="s">
        <v>104</v>
      </c>
    </row>
    <row r="215" spans="1:23" ht="41.25" customHeight="1" x14ac:dyDescent="0.25">
      <c r="A215" s="2" t="s">
        <v>39</v>
      </c>
      <c r="B215" s="5" t="s">
        <v>77</v>
      </c>
      <c r="C215" s="18"/>
      <c r="D215" s="18"/>
      <c r="E215" s="2" t="s">
        <v>1150</v>
      </c>
      <c r="F215" s="1">
        <v>2</v>
      </c>
      <c r="G215" s="3">
        <v>46199</v>
      </c>
      <c r="H215" s="3"/>
      <c r="I215" s="3">
        <v>46211</v>
      </c>
      <c r="J215" s="1">
        <v>12</v>
      </c>
      <c r="K215" s="1">
        <v>0</v>
      </c>
      <c r="L215" s="1">
        <v>288</v>
      </c>
      <c r="M215" s="1">
        <v>661</v>
      </c>
      <c r="N215" s="1">
        <v>96</v>
      </c>
      <c r="O215" s="1">
        <v>25</v>
      </c>
      <c r="P215" s="1">
        <v>348</v>
      </c>
      <c r="Q215" s="2" t="s">
        <v>51</v>
      </c>
      <c r="R215" s="6" t="s">
        <v>1151</v>
      </c>
      <c r="S215" s="2" t="s">
        <v>25</v>
      </c>
      <c r="T215" s="3"/>
      <c r="V215" s="3"/>
      <c r="W215" s="2" t="s">
        <v>35</v>
      </c>
    </row>
    <row r="216" spans="1:23" ht="41.25" customHeight="1" x14ac:dyDescent="0.25">
      <c r="A216" s="2" t="s">
        <v>39</v>
      </c>
      <c r="B216" s="5" t="s">
        <v>77</v>
      </c>
      <c r="C216" s="18"/>
      <c r="D216" s="18"/>
      <c r="E216" s="2" t="s">
        <v>221</v>
      </c>
      <c r="G216" s="3">
        <v>46211</v>
      </c>
      <c r="H216" s="3"/>
      <c r="I216" s="3">
        <v>46218</v>
      </c>
      <c r="J216" s="1">
        <v>7</v>
      </c>
      <c r="K216" s="1">
        <v>0</v>
      </c>
      <c r="L216" s="1">
        <v>168</v>
      </c>
      <c r="M216" s="1">
        <v>0</v>
      </c>
      <c r="N216" s="1">
        <v>0</v>
      </c>
      <c r="O216" s="1">
        <v>0</v>
      </c>
      <c r="Q216" s="2" t="s">
        <v>51</v>
      </c>
      <c r="R216" s="6" t="s">
        <v>43</v>
      </c>
      <c r="S216" s="2" t="s">
        <v>25</v>
      </c>
      <c r="T216" s="3"/>
      <c r="V216" s="3"/>
      <c r="W216" s="2" t="s">
        <v>95</v>
      </c>
    </row>
    <row r="217" spans="1:23" ht="41.25" customHeight="1" x14ac:dyDescent="0.25">
      <c r="A217" s="2" t="s">
        <v>39</v>
      </c>
      <c r="B217" s="5" t="s">
        <v>77</v>
      </c>
      <c r="C217" s="18"/>
      <c r="D217" s="18"/>
      <c r="E217" s="2" t="s">
        <v>1269</v>
      </c>
      <c r="F217" s="1">
        <v>97</v>
      </c>
      <c r="G217" s="3">
        <v>46218</v>
      </c>
      <c r="H217" s="3"/>
      <c r="I217" s="3">
        <v>46221</v>
      </c>
      <c r="J217" s="1">
        <v>3</v>
      </c>
      <c r="K217" s="1">
        <v>0</v>
      </c>
      <c r="L217" s="1">
        <v>72</v>
      </c>
      <c r="M217" s="1">
        <v>250</v>
      </c>
      <c r="N217" s="1">
        <v>0</v>
      </c>
      <c r="O217" s="1">
        <v>0</v>
      </c>
      <c r="P217" s="1">
        <v>0</v>
      </c>
      <c r="Q217" s="2" t="s">
        <v>53</v>
      </c>
      <c r="R217" s="6" t="s">
        <v>1270</v>
      </c>
      <c r="S217" s="2" t="s">
        <v>1353</v>
      </c>
      <c r="T217" s="3"/>
      <c r="V217" s="3"/>
      <c r="W217" s="2" t="s">
        <v>1256</v>
      </c>
    </row>
    <row r="218" spans="1:23" ht="41.25" customHeight="1" x14ac:dyDescent="0.25">
      <c r="A218" s="2" t="s">
        <v>39</v>
      </c>
      <c r="B218" s="5" t="s">
        <v>77</v>
      </c>
      <c r="C218" s="18"/>
      <c r="D218" s="18"/>
      <c r="E218" s="2" t="s">
        <v>1271</v>
      </c>
      <c r="F218" s="1">
        <v>97</v>
      </c>
      <c r="G218" s="3">
        <v>46221</v>
      </c>
      <c r="H218" s="3"/>
      <c r="I218" s="3">
        <v>46224</v>
      </c>
      <c r="J218" s="1">
        <v>3</v>
      </c>
      <c r="K218" s="1">
        <v>0</v>
      </c>
      <c r="L218" s="1">
        <v>72</v>
      </c>
      <c r="M218" s="1">
        <v>250</v>
      </c>
      <c r="N218" s="1">
        <v>0</v>
      </c>
      <c r="O218" s="1">
        <v>0</v>
      </c>
      <c r="P218" s="1">
        <v>0</v>
      </c>
      <c r="Q218" s="2" t="s">
        <v>53</v>
      </c>
      <c r="R218" s="6" t="s">
        <v>1270</v>
      </c>
      <c r="S218" s="2" t="s">
        <v>1354</v>
      </c>
      <c r="T218" s="3"/>
      <c r="V218" s="3"/>
      <c r="W218" s="2" t="s">
        <v>1256</v>
      </c>
    </row>
    <row r="219" spans="1:23" ht="41.25" customHeight="1" x14ac:dyDescent="0.25">
      <c r="A219" s="2" t="s">
        <v>39</v>
      </c>
      <c r="B219" s="5" t="s">
        <v>77</v>
      </c>
      <c r="C219" s="18"/>
      <c r="D219" s="18"/>
      <c r="E219" s="2" t="s">
        <v>1289</v>
      </c>
      <c r="F219" s="1">
        <v>97</v>
      </c>
      <c r="G219" s="3">
        <v>46224</v>
      </c>
      <c r="H219" s="3"/>
      <c r="I219" s="3">
        <v>46234</v>
      </c>
      <c r="J219" s="1">
        <v>10</v>
      </c>
      <c r="K219" s="1">
        <v>0</v>
      </c>
      <c r="L219" s="1">
        <v>240</v>
      </c>
      <c r="M219" s="1">
        <v>700</v>
      </c>
      <c r="N219" s="1">
        <v>0</v>
      </c>
      <c r="O219" s="1">
        <v>0</v>
      </c>
      <c r="P219" s="1">
        <v>0</v>
      </c>
      <c r="Q219" s="2" t="s">
        <v>54</v>
      </c>
      <c r="R219" s="6" t="s">
        <v>1290</v>
      </c>
      <c r="S219" s="2" t="s">
        <v>1355</v>
      </c>
      <c r="T219" s="3"/>
      <c r="V219" s="3"/>
      <c r="W219" s="2" t="s">
        <v>1256</v>
      </c>
    </row>
    <row r="220" spans="1:23" ht="41.25" customHeight="1" x14ac:dyDescent="0.25">
      <c r="A220" s="2" t="s">
        <v>39</v>
      </c>
      <c r="B220" s="5" t="s">
        <v>78</v>
      </c>
      <c r="C220" s="18" t="s">
        <v>23</v>
      </c>
      <c r="D220" s="18" t="s">
        <v>41</v>
      </c>
      <c r="E220" s="2" t="s">
        <v>354</v>
      </c>
      <c r="F220" s="1">
        <v>6</v>
      </c>
      <c r="G220" s="3">
        <v>46132</v>
      </c>
      <c r="H220" s="3"/>
      <c r="I220" s="3">
        <v>46162</v>
      </c>
      <c r="J220" s="1">
        <v>30</v>
      </c>
      <c r="K220" s="1">
        <v>0</v>
      </c>
      <c r="L220" s="1">
        <v>720</v>
      </c>
      <c r="M220" s="1">
        <v>500</v>
      </c>
      <c r="N220" s="1">
        <v>0</v>
      </c>
      <c r="O220" s="1">
        <v>0</v>
      </c>
      <c r="P220" s="1">
        <v>0</v>
      </c>
      <c r="Q220" s="2" t="s">
        <v>1428</v>
      </c>
      <c r="R220" s="6" t="s">
        <v>1248</v>
      </c>
      <c r="S220" s="2" t="s">
        <v>25</v>
      </c>
      <c r="T220" s="3"/>
      <c r="V220" s="3"/>
      <c r="W220" s="2" t="s">
        <v>24</v>
      </c>
    </row>
    <row r="221" spans="1:23" ht="41.25" customHeight="1" x14ac:dyDescent="0.25">
      <c r="A221" s="2" t="s">
        <v>39</v>
      </c>
      <c r="B221" s="5" t="s">
        <v>78</v>
      </c>
      <c r="C221" s="18"/>
      <c r="D221" s="18"/>
      <c r="E221" s="2" t="s">
        <v>220</v>
      </c>
      <c r="G221" s="3">
        <v>46132</v>
      </c>
      <c r="H221" s="3"/>
      <c r="I221" s="3">
        <v>46140</v>
      </c>
      <c r="J221" s="1">
        <v>8</v>
      </c>
      <c r="K221" s="1">
        <v>0</v>
      </c>
      <c r="L221" s="1">
        <v>192</v>
      </c>
      <c r="M221" s="1">
        <v>0</v>
      </c>
      <c r="N221" s="1">
        <v>0</v>
      </c>
      <c r="O221" s="1">
        <v>0</v>
      </c>
      <c r="Q221" s="2" t="s">
        <v>51</v>
      </c>
      <c r="R221" s="6" t="s">
        <v>243</v>
      </c>
      <c r="S221" s="2" t="s">
        <v>25</v>
      </c>
      <c r="T221" s="3"/>
      <c r="V221" s="3"/>
      <c r="W221" s="2" t="s">
        <v>95</v>
      </c>
    </row>
    <row r="222" spans="1:23" ht="41.25" customHeight="1" x14ac:dyDescent="0.25">
      <c r="A222" s="2" t="s">
        <v>39</v>
      </c>
      <c r="B222" s="5" t="s">
        <v>78</v>
      </c>
      <c r="C222" s="18" t="s">
        <v>23</v>
      </c>
      <c r="D222" s="18"/>
      <c r="E222" s="2" t="s">
        <v>215</v>
      </c>
      <c r="F222" s="1">
        <v>3</v>
      </c>
      <c r="G222" s="3">
        <v>46140</v>
      </c>
      <c r="H222" s="3"/>
      <c r="I222" s="3">
        <v>46165</v>
      </c>
      <c r="J222" s="1">
        <v>25</v>
      </c>
      <c r="K222" s="1">
        <v>0</v>
      </c>
      <c r="L222" s="1">
        <v>600</v>
      </c>
      <c r="M222" s="1">
        <v>198</v>
      </c>
      <c r="N222" s="1">
        <v>30</v>
      </c>
      <c r="O222" s="1">
        <v>120</v>
      </c>
      <c r="P222" s="1">
        <v>906</v>
      </c>
      <c r="Q222" s="2" t="s">
        <v>353</v>
      </c>
      <c r="R222" s="6" t="s">
        <v>1382</v>
      </c>
      <c r="S222" s="2" t="s">
        <v>1357</v>
      </c>
      <c r="T222" s="3"/>
      <c r="V222" s="3"/>
      <c r="W222" s="2" t="s">
        <v>24</v>
      </c>
    </row>
    <row r="223" spans="1:23" ht="41.25" customHeight="1" x14ac:dyDescent="0.25">
      <c r="A223" s="2" t="s">
        <v>39</v>
      </c>
      <c r="B223" s="5" t="s">
        <v>78</v>
      </c>
      <c r="C223" s="18"/>
      <c r="D223" s="18"/>
      <c r="E223" s="2" t="s">
        <v>220</v>
      </c>
      <c r="G223" s="3">
        <v>46132</v>
      </c>
      <c r="H223" s="3"/>
      <c r="I223" s="3">
        <v>46140</v>
      </c>
      <c r="J223" s="1">
        <v>8</v>
      </c>
      <c r="K223" s="1">
        <v>0</v>
      </c>
      <c r="L223" s="1">
        <v>192</v>
      </c>
      <c r="M223" s="1">
        <v>0</v>
      </c>
      <c r="N223" s="1">
        <v>0</v>
      </c>
      <c r="O223" s="1">
        <v>0</v>
      </c>
      <c r="Q223" s="2" t="s">
        <v>51</v>
      </c>
      <c r="R223" s="6" t="s">
        <v>1534</v>
      </c>
      <c r="S223" s="2" t="s">
        <v>25</v>
      </c>
      <c r="T223" s="3"/>
      <c r="V223" s="3"/>
      <c r="W223" s="2" t="s">
        <v>95</v>
      </c>
    </row>
    <row r="224" spans="1:23" ht="41.25" customHeight="1" x14ac:dyDescent="0.25">
      <c r="A224" s="2" t="s">
        <v>40</v>
      </c>
      <c r="B224" s="5" t="s">
        <v>111</v>
      </c>
      <c r="C224" s="18" t="s">
        <v>23</v>
      </c>
      <c r="D224" s="18" t="s">
        <v>41</v>
      </c>
      <c r="E224" s="2" t="s">
        <v>1292</v>
      </c>
      <c r="F224" s="1">
        <v>5</v>
      </c>
      <c r="G224" s="3">
        <v>46128</v>
      </c>
      <c r="H224" s="3"/>
      <c r="I224" s="3">
        <v>46142</v>
      </c>
      <c r="J224" s="1">
        <v>14</v>
      </c>
      <c r="K224" s="1">
        <v>0</v>
      </c>
      <c r="L224" s="1">
        <v>336</v>
      </c>
      <c r="M224" s="1">
        <v>250</v>
      </c>
      <c r="N224" s="1">
        <v>94</v>
      </c>
      <c r="O224" s="1">
        <v>13</v>
      </c>
      <c r="P224" s="1">
        <v>207</v>
      </c>
      <c r="Q224" s="2" t="s">
        <v>103</v>
      </c>
      <c r="R224" s="6" t="s">
        <v>1429</v>
      </c>
      <c r="S224" s="2" t="s">
        <v>25</v>
      </c>
      <c r="T224" s="3"/>
      <c r="V224" s="3"/>
      <c r="W224" s="2" t="s">
        <v>104</v>
      </c>
    </row>
    <row r="225" spans="1:23" ht="41.25" customHeight="1" x14ac:dyDescent="0.25">
      <c r="A225" s="2" t="s">
        <v>40</v>
      </c>
      <c r="B225" s="5" t="s">
        <v>111</v>
      </c>
      <c r="C225" s="18"/>
      <c r="D225" s="18" t="s">
        <v>1462</v>
      </c>
      <c r="E225" s="2" t="s">
        <v>312</v>
      </c>
      <c r="F225" s="1">
        <v>230</v>
      </c>
      <c r="G225" s="3">
        <v>46142</v>
      </c>
      <c r="H225" s="3"/>
      <c r="I225" s="3">
        <v>46143</v>
      </c>
      <c r="J225" s="1">
        <v>1</v>
      </c>
      <c r="K225" s="1">
        <v>0</v>
      </c>
      <c r="L225" s="1">
        <v>24</v>
      </c>
      <c r="M225" s="1">
        <v>250</v>
      </c>
      <c r="N225" s="1">
        <v>0</v>
      </c>
      <c r="O225" s="1">
        <v>0</v>
      </c>
      <c r="P225" s="1">
        <v>0</v>
      </c>
      <c r="Q225" s="2" t="s">
        <v>53</v>
      </c>
      <c r="R225" s="6" t="s">
        <v>1463</v>
      </c>
      <c r="S225" s="2" t="s">
        <v>25</v>
      </c>
      <c r="T225" s="3"/>
      <c r="V225" s="3"/>
      <c r="W225" s="2" t="s">
        <v>1256</v>
      </c>
    </row>
    <row r="226" spans="1:23" ht="41.25" customHeight="1" x14ac:dyDescent="0.25">
      <c r="A226" s="2" t="s">
        <v>40</v>
      </c>
      <c r="B226" s="5" t="s">
        <v>111</v>
      </c>
      <c r="C226" s="18"/>
      <c r="D226" s="18" t="s">
        <v>1462</v>
      </c>
      <c r="E226" s="2" t="s">
        <v>1464</v>
      </c>
      <c r="F226" s="1">
        <v>230</v>
      </c>
      <c r="G226" s="3">
        <v>46143</v>
      </c>
      <c r="H226" s="3"/>
      <c r="I226" s="3">
        <v>46144</v>
      </c>
      <c r="J226" s="1">
        <v>1</v>
      </c>
      <c r="K226" s="1">
        <v>0</v>
      </c>
      <c r="L226" s="1">
        <v>24</v>
      </c>
      <c r="M226" s="1">
        <v>800</v>
      </c>
      <c r="N226" s="1">
        <v>0</v>
      </c>
      <c r="O226" s="1">
        <v>0</v>
      </c>
      <c r="P226" s="1">
        <v>100</v>
      </c>
      <c r="Q226" s="2" t="s">
        <v>53</v>
      </c>
      <c r="R226" s="6" t="s">
        <v>1463</v>
      </c>
      <c r="S226" s="2" t="s">
        <v>25</v>
      </c>
      <c r="T226" s="3"/>
      <c r="V226" s="3"/>
      <c r="W226" s="2" t="s">
        <v>95</v>
      </c>
    </row>
    <row r="227" spans="1:23" ht="41.25" customHeight="1" x14ac:dyDescent="0.25">
      <c r="A227" s="2" t="s">
        <v>40</v>
      </c>
      <c r="B227" s="5" t="s">
        <v>111</v>
      </c>
      <c r="C227" s="18"/>
      <c r="D227" s="18" t="s">
        <v>1462</v>
      </c>
      <c r="E227" s="2" t="s">
        <v>1374</v>
      </c>
      <c r="F227" s="1">
        <v>85</v>
      </c>
      <c r="G227" s="3">
        <v>46144</v>
      </c>
      <c r="H227" s="3"/>
      <c r="I227" s="3">
        <v>46145</v>
      </c>
      <c r="J227" s="1">
        <v>1</v>
      </c>
      <c r="K227" s="1">
        <v>0</v>
      </c>
      <c r="L227" s="1">
        <v>24</v>
      </c>
      <c r="M227" s="1">
        <v>800</v>
      </c>
      <c r="N227" s="1">
        <v>0</v>
      </c>
      <c r="O227" s="1">
        <v>0</v>
      </c>
      <c r="P227" s="1">
        <v>0</v>
      </c>
      <c r="Q227" s="2" t="s">
        <v>51</v>
      </c>
      <c r="R227" s="6" t="s">
        <v>43</v>
      </c>
      <c r="S227" s="2" t="s">
        <v>25</v>
      </c>
      <c r="T227" s="3"/>
      <c r="V227" s="3"/>
      <c r="W227" s="2" t="s">
        <v>1256</v>
      </c>
    </row>
    <row r="228" spans="1:23" ht="41.25" customHeight="1" x14ac:dyDescent="0.25">
      <c r="A228" s="2" t="s">
        <v>40</v>
      </c>
      <c r="B228" s="5" t="s">
        <v>111</v>
      </c>
      <c r="C228" s="18"/>
      <c r="D228" s="18" t="s">
        <v>30</v>
      </c>
      <c r="E228" s="2" t="s">
        <v>1390</v>
      </c>
      <c r="F228" s="1">
        <v>9</v>
      </c>
      <c r="G228" s="3">
        <v>46145</v>
      </c>
      <c r="H228" s="3"/>
      <c r="I228" s="3">
        <v>46159</v>
      </c>
      <c r="J228" s="1">
        <v>14</v>
      </c>
      <c r="K228" s="1">
        <v>0</v>
      </c>
      <c r="L228" s="1">
        <v>336</v>
      </c>
      <c r="M228" s="1">
        <v>750</v>
      </c>
      <c r="N228" s="1">
        <v>98</v>
      </c>
      <c r="O228" s="1">
        <v>13</v>
      </c>
      <c r="P228" s="1">
        <v>90</v>
      </c>
      <c r="Q228" s="2" t="s">
        <v>103</v>
      </c>
      <c r="R228" s="6" t="s">
        <v>1391</v>
      </c>
      <c r="S228" s="2" t="s">
        <v>25</v>
      </c>
      <c r="T228" s="3"/>
      <c r="V228" s="3"/>
      <c r="W228" s="2" t="s">
        <v>104</v>
      </c>
    </row>
    <row r="229" spans="1:23" ht="41.25" customHeight="1" x14ac:dyDescent="0.25">
      <c r="A229" s="2" t="s">
        <v>40</v>
      </c>
      <c r="B229" s="5" t="s">
        <v>111</v>
      </c>
      <c r="C229" s="18"/>
      <c r="D229" s="18" t="s">
        <v>30</v>
      </c>
      <c r="E229" s="2" t="s">
        <v>546</v>
      </c>
      <c r="F229" s="1">
        <v>9</v>
      </c>
      <c r="G229" s="3">
        <v>46159</v>
      </c>
      <c r="H229" s="3"/>
      <c r="I229" s="3">
        <v>46167</v>
      </c>
      <c r="J229" s="1">
        <v>8</v>
      </c>
      <c r="K229" s="1">
        <v>0</v>
      </c>
      <c r="L229" s="1">
        <v>192</v>
      </c>
      <c r="M229" s="1">
        <v>172</v>
      </c>
      <c r="N229" s="1">
        <v>95</v>
      </c>
      <c r="O229" s="1">
        <v>7</v>
      </c>
      <c r="P229" s="1">
        <v>151</v>
      </c>
      <c r="Q229" s="2" t="s">
        <v>51</v>
      </c>
      <c r="R229" s="6" t="s">
        <v>43</v>
      </c>
      <c r="S229" s="2" t="s">
        <v>25</v>
      </c>
      <c r="T229" s="3"/>
      <c r="V229" s="3"/>
      <c r="W229" s="2" t="s">
        <v>29</v>
      </c>
    </row>
    <row r="230" spans="1:23" ht="41.25" customHeight="1" x14ac:dyDescent="0.25">
      <c r="A230" s="2" t="s">
        <v>40</v>
      </c>
      <c r="B230" s="5" t="s">
        <v>111</v>
      </c>
      <c r="C230" s="18"/>
      <c r="D230" s="18" t="s">
        <v>1384</v>
      </c>
      <c r="E230" s="2" t="s">
        <v>132</v>
      </c>
      <c r="F230" s="1">
        <v>56</v>
      </c>
      <c r="G230" s="3">
        <v>46167</v>
      </c>
      <c r="H230" s="3"/>
      <c r="I230" s="3">
        <v>46183</v>
      </c>
      <c r="J230" s="1">
        <v>16</v>
      </c>
      <c r="K230" s="1">
        <v>0</v>
      </c>
      <c r="L230" s="1">
        <v>384</v>
      </c>
      <c r="M230" s="1">
        <v>199</v>
      </c>
      <c r="N230" s="1">
        <v>75</v>
      </c>
      <c r="O230" s="1">
        <v>41</v>
      </c>
      <c r="P230" s="1">
        <v>236</v>
      </c>
      <c r="Q230" s="2" t="s">
        <v>62</v>
      </c>
      <c r="R230" s="6" t="s">
        <v>1141</v>
      </c>
      <c r="S230" s="2" t="s">
        <v>25</v>
      </c>
      <c r="T230" s="3"/>
      <c r="V230" s="3"/>
      <c r="W230" s="2" t="s">
        <v>104</v>
      </c>
    </row>
    <row r="231" spans="1:23" ht="41.25" customHeight="1" x14ac:dyDescent="0.25">
      <c r="A231" s="2" t="s">
        <v>40</v>
      </c>
      <c r="B231" s="5" t="s">
        <v>111</v>
      </c>
      <c r="C231" s="18" t="s">
        <v>23</v>
      </c>
      <c r="D231" s="18"/>
      <c r="E231" s="2" t="s">
        <v>258</v>
      </c>
      <c r="F231" s="1">
        <v>34</v>
      </c>
      <c r="G231" s="3">
        <v>46183</v>
      </c>
      <c r="H231" s="3"/>
      <c r="I231" s="3">
        <v>46193</v>
      </c>
      <c r="J231" s="1">
        <v>10</v>
      </c>
      <c r="K231" s="1">
        <v>0</v>
      </c>
      <c r="L231" s="1">
        <v>240</v>
      </c>
      <c r="M231" s="1">
        <v>100</v>
      </c>
      <c r="N231" s="1">
        <v>0</v>
      </c>
      <c r="O231" s="1">
        <v>0</v>
      </c>
      <c r="P231" s="1">
        <v>0</v>
      </c>
      <c r="Q231" s="2" t="s">
        <v>227</v>
      </c>
      <c r="R231" s="6" t="s">
        <v>257</v>
      </c>
      <c r="S231" s="2" t="s">
        <v>25</v>
      </c>
      <c r="T231" s="3"/>
      <c r="V231" s="3"/>
      <c r="W231" s="2" t="s">
        <v>1256</v>
      </c>
    </row>
    <row r="232" spans="1:23" ht="41.25" customHeight="1" x14ac:dyDescent="0.25">
      <c r="A232" s="2" t="s">
        <v>40</v>
      </c>
      <c r="B232" s="5" t="s">
        <v>111</v>
      </c>
      <c r="C232" s="18"/>
      <c r="D232" s="18"/>
      <c r="E232" s="2" t="s">
        <v>259</v>
      </c>
      <c r="F232" s="1">
        <v>34</v>
      </c>
      <c r="G232" s="3">
        <v>46193</v>
      </c>
      <c r="H232" s="3"/>
      <c r="I232" s="3">
        <v>46203</v>
      </c>
      <c r="J232" s="1">
        <v>10</v>
      </c>
      <c r="K232" s="1">
        <v>0</v>
      </c>
      <c r="L232" s="1">
        <v>240</v>
      </c>
      <c r="M232" s="1">
        <v>80</v>
      </c>
      <c r="N232" s="1">
        <v>0</v>
      </c>
      <c r="O232" s="1">
        <v>0</v>
      </c>
      <c r="P232" s="1">
        <v>0</v>
      </c>
      <c r="Q232" s="2" t="s">
        <v>227</v>
      </c>
      <c r="R232" s="6" t="s">
        <v>257</v>
      </c>
      <c r="S232" s="2" t="s">
        <v>25</v>
      </c>
      <c r="T232" s="3"/>
      <c r="V232" s="3"/>
      <c r="W232" s="2" t="s">
        <v>1256</v>
      </c>
    </row>
    <row r="233" spans="1:23" ht="41.25" customHeight="1" x14ac:dyDescent="0.25">
      <c r="A233" s="2" t="s">
        <v>40</v>
      </c>
      <c r="B233" s="5" t="s">
        <v>111</v>
      </c>
      <c r="C233" s="18"/>
      <c r="D233" s="18"/>
      <c r="E233" s="2" t="s">
        <v>195</v>
      </c>
      <c r="F233" s="1">
        <v>34</v>
      </c>
      <c r="G233" s="3">
        <v>46203</v>
      </c>
      <c r="H233" s="3"/>
      <c r="I233" s="3">
        <v>46227</v>
      </c>
      <c r="J233" s="1">
        <v>24</v>
      </c>
      <c r="K233" s="1">
        <v>0</v>
      </c>
      <c r="L233" s="1">
        <v>576</v>
      </c>
      <c r="M233" s="1">
        <v>106</v>
      </c>
      <c r="N233" s="1">
        <v>24</v>
      </c>
      <c r="O233" s="1">
        <v>67</v>
      </c>
      <c r="P233" s="1">
        <v>159</v>
      </c>
      <c r="Q233" s="2" t="s">
        <v>89</v>
      </c>
      <c r="R233" s="6" t="s">
        <v>226</v>
      </c>
      <c r="S233" s="2" t="s">
        <v>25</v>
      </c>
      <c r="T233" s="3">
        <v>46227</v>
      </c>
      <c r="U233" s="1">
        <v>1</v>
      </c>
      <c r="V233" s="3">
        <v>46231</v>
      </c>
      <c r="W233" s="2" t="s">
        <v>35</v>
      </c>
    </row>
    <row r="234" spans="1:23" ht="41.25" customHeight="1" x14ac:dyDescent="0.25">
      <c r="A234" s="2" t="s">
        <v>40</v>
      </c>
      <c r="B234" s="5" t="s">
        <v>111</v>
      </c>
      <c r="C234" s="18"/>
      <c r="D234" s="18" t="s">
        <v>30</v>
      </c>
      <c r="E234" s="2" t="s">
        <v>136</v>
      </c>
      <c r="F234" s="1">
        <v>2</v>
      </c>
      <c r="G234" s="3">
        <v>46227</v>
      </c>
      <c r="H234" s="3"/>
      <c r="I234" s="3">
        <v>46231</v>
      </c>
      <c r="J234" s="1">
        <v>4</v>
      </c>
      <c r="K234" s="1">
        <v>0</v>
      </c>
      <c r="L234" s="1">
        <v>96</v>
      </c>
      <c r="M234" s="1">
        <v>125</v>
      </c>
      <c r="N234" s="1">
        <v>0</v>
      </c>
      <c r="O234" s="1">
        <v>5</v>
      </c>
      <c r="P234" s="1">
        <v>0</v>
      </c>
      <c r="Q234" s="2" t="s">
        <v>53</v>
      </c>
      <c r="R234" s="6" t="s">
        <v>137</v>
      </c>
      <c r="S234" s="2" t="s">
        <v>25</v>
      </c>
      <c r="T234" s="3"/>
      <c r="V234" s="3"/>
      <c r="W234" s="2" t="s">
        <v>1256</v>
      </c>
    </row>
    <row r="235" spans="1:23" ht="41.25" customHeight="1" x14ac:dyDescent="0.25">
      <c r="A235" s="2" t="s">
        <v>40</v>
      </c>
      <c r="B235" s="5" t="s">
        <v>111</v>
      </c>
      <c r="C235" s="18" t="s">
        <v>23</v>
      </c>
      <c r="D235" s="18"/>
      <c r="E235" s="2" t="s">
        <v>300</v>
      </c>
      <c r="F235" s="1">
        <v>2</v>
      </c>
      <c r="G235" s="3">
        <v>46231</v>
      </c>
      <c r="H235" s="3"/>
      <c r="I235" s="3">
        <v>46234</v>
      </c>
      <c r="J235" s="1">
        <v>3</v>
      </c>
      <c r="K235" s="1">
        <v>0</v>
      </c>
      <c r="L235" s="1">
        <v>72</v>
      </c>
      <c r="M235" s="1">
        <v>0</v>
      </c>
      <c r="N235" s="1">
        <v>0</v>
      </c>
      <c r="O235" s="1">
        <v>0</v>
      </c>
      <c r="P235" s="1">
        <v>100</v>
      </c>
      <c r="Q235" s="2" t="s">
        <v>61</v>
      </c>
      <c r="R235" s="6" t="s">
        <v>261</v>
      </c>
      <c r="S235" s="2" t="s">
        <v>25</v>
      </c>
      <c r="T235" s="3"/>
      <c r="V235" s="3"/>
      <c r="W235" s="2" t="s">
        <v>95</v>
      </c>
    </row>
    <row r="236" spans="1:23" ht="41.25" customHeight="1" x14ac:dyDescent="0.25">
      <c r="A236" s="2" t="s">
        <v>40</v>
      </c>
      <c r="B236" s="5" t="s">
        <v>112</v>
      </c>
      <c r="C236" s="18" t="s">
        <v>23</v>
      </c>
      <c r="D236" s="18" t="s">
        <v>41</v>
      </c>
      <c r="E236" s="2" t="s">
        <v>1291</v>
      </c>
      <c r="F236" s="1">
        <v>20</v>
      </c>
      <c r="G236" s="3">
        <v>46131</v>
      </c>
      <c r="H236" s="3"/>
      <c r="I236" s="3">
        <v>46141</v>
      </c>
      <c r="J236" s="1">
        <v>10</v>
      </c>
      <c r="K236" s="1">
        <v>0</v>
      </c>
      <c r="L236" s="1">
        <v>240</v>
      </c>
      <c r="M236" s="1">
        <v>400</v>
      </c>
      <c r="N236" s="1">
        <v>97</v>
      </c>
      <c r="O236" s="1">
        <v>10</v>
      </c>
      <c r="P236" s="1">
        <v>90</v>
      </c>
      <c r="Q236" s="2" t="s">
        <v>167</v>
      </c>
      <c r="R236" s="6" t="s">
        <v>1430</v>
      </c>
      <c r="S236" s="2" t="s">
        <v>25</v>
      </c>
      <c r="T236" s="3"/>
      <c r="V236" s="3"/>
      <c r="W236" s="2" t="s">
        <v>29</v>
      </c>
    </row>
    <row r="237" spans="1:23" ht="41.25" customHeight="1" x14ac:dyDescent="0.25">
      <c r="A237" s="2" t="s">
        <v>40</v>
      </c>
      <c r="B237" s="5" t="s">
        <v>112</v>
      </c>
      <c r="C237" s="18"/>
      <c r="D237" s="18"/>
      <c r="E237" s="2" t="s">
        <v>1272</v>
      </c>
      <c r="F237" s="1">
        <v>23</v>
      </c>
      <c r="G237" s="3">
        <v>46141</v>
      </c>
      <c r="H237" s="3"/>
      <c r="I237" s="3">
        <v>46151</v>
      </c>
      <c r="J237" s="1">
        <v>10</v>
      </c>
      <c r="K237" s="1">
        <v>0</v>
      </c>
      <c r="L237" s="1">
        <v>240</v>
      </c>
      <c r="M237" s="1">
        <v>600</v>
      </c>
      <c r="N237" s="1">
        <v>0</v>
      </c>
      <c r="O237" s="1">
        <v>0</v>
      </c>
      <c r="P237" s="1">
        <v>0</v>
      </c>
      <c r="Q237" s="2" t="s">
        <v>54</v>
      </c>
      <c r="R237" s="6" t="s">
        <v>146</v>
      </c>
      <c r="S237" s="2" t="s">
        <v>25</v>
      </c>
      <c r="T237" s="3"/>
      <c r="V237" s="3"/>
      <c r="W237" s="2" t="s">
        <v>104</v>
      </c>
    </row>
    <row r="238" spans="1:23" ht="41.25" customHeight="1" x14ac:dyDescent="0.25">
      <c r="A238" s="2" t="s">
        <v>40</v>
      </c>
      <c r="B238" s="5" t="s">
        <v>112</v>
      </c>
      <c r="C238" s="18"/>
      <c r="D238" s="18" t="s">
        <v>30</v>
      </c>
      <c r="E238" s="2" t="s">
        <v>1374</v>
      </c>
      <c r="F238" s="1">
        <v>85</v>
      </c>
      <c r="G238" s="3">
        <v>46151</v>
      </c>
      <c r="H238" s="3"/>
      <c r="I238" s="3">
        <v>46154</v>
      </c>
      <c r="J238" s="1">
        <v>3</v>
      </c>
      <c r="K238" s="1">
        <v>0</v>
      </c>
      <c r="L238" s="1">
        <v>72</v>
      </c>
      <c r="M238" s="1">
        <v>800</v>
      </c>
      <c r="N238" s="1">
        <v>0</v>
      </c>
      <c r="O238" s="1">
        <v>0</v>
      </c>
      <c r="P238" s="1">
        <v>0</v>
      </c>
      <c r="Q238" s="2" t="s">
        <v>51</v>
      </c>
      <c r="R238" s="6" t="s">
        <v>43</v>
      </c>
      <c r="S238" s="2" t="s">
        <v>25</v>
      </c>
      <c r="T238" s="3"/>
      <c r="V238" s="3"/>
      <c r="W238" s="2" t="s">
        <v>1256</v>
      </c>
    </row>
    <row r="239" spans="1:23" ht="41.25" customHeight="1" x14ac:dyDescent="0.25">
      <c r="A239" s="2" t="s">
        <v>40</v>
      </c>
      <c r="B239" s="5" t="s">
        <v>112</v>
      </c>
      <c r="C239" s="18"/>
      <c r="D239" s="18"/>
      <c r="E239" s="2" t="s">
        <v>221</v>
      </c>
      <c r="G239" s="3">
        <v>46154</v>
      </c>
      <c r="H239" s="3"/>
      <c r="I239" s="3">
        <v>46162</v>
      </c>
      <c r="J239" s="1">
        <v>8</v>
      </c>
      <c r="K239" s="1">
        <v>0</v>
      </c>
      <c r="L239" s="1">
        <v>192</v>
      </c>
      <c r="M239" s="1">
        <v>0</v>
      </c>
      <c r="N239" s="1">
        <v>0</v>
      </c>
      <c r="O239" s="1">
        <v>0</v>
      </c>
      <c r="Q239" s="2" t="s">
        <v>51</v>
      </c>
      <c r="R239" s="6" t="s">
        <v>43</v>
      </c>
      <c r="S239" s="2" t="s">
        <v>25</v>
      </c>
      <c r="T239" s="3"/>
      <c r="V239" s="3"/>
      <c r="W239" s="2" t="s">
        <v>95</v>
      </c>
    </row>
    <row r="240" spans="1:23" ht="41.25" customHeight="1" x14ac:dyDescent="0.25">
      <c r="A240" s="2" t="s">
        <v>40</v>
      </c>
      <c r="B240" s="5" t="s">
        <v>112</v>
      </c>
      <c r="C240" s="18"/>
      <c r="D240" s="18"/>
      <c r="E240" s="2" t="s">
        <v>1239</v>
      </c>
      <c r="F240" s="1">
        <v>235</v>
      </c>
      <c r="G240" s="3">
        <v>46162</v>
      </c>
      <c r="H240" s="3"/>
      <c r="I240" s="3">
        <v>46172</v>
      </c>
      <c r="J240" s="1">
        <v>10</v>
      </c>
      <c r="K240" s="1">
        <v>0</v>
      </c>
      <c r="L240" s="1">
        <v>240</v>
      </c>
      <c r="M240" s="1">
        <v>0</v>
      </c>
      <c r="N240" s="1">
        <v>0</v>
      </c>
      <c r="O240" s="1">
        <v>0</v>
      </c>
      <c r="P240" s="1">
        <v>0</v>
      </c>
      <c r="Q240" s="2" t="s">
        <v>227</v>
      </c>
      <c r="R240" s="6" t="s">
        <v>257</v>
      </c>
      <c r="S240" s="2" t="s">
        <v>25</v>
      </c>
      <c r="T240" s="3"/>
      <c r="V240" s="3"/>
      <c r="W240" s="2" t="s">
        <v>1256</v>
      </c>
    </row>
    <row r="241" spans="1:23" ht="41.25" customHeight="1" x14ac:dyDescent="0.25">
      <c r="A241" s="2" t="s">
        <v>40</v>
      </c>
      <c r="B241" s="5" t="s">
        <v>112</v>
      </c>
      <c r="C241" s="18"/>
      <c r="D241" s="18"/>
      <c r="E241" s="2" t="s">
        <v>1277</v>
      </c>
      <c r="F241" s="1">
        <v>49</v>
      </c>
      <c r="G241" s="3">
        <v>46172</v>
      </c>
      <c r="H241" s="3"/>
      <c r="I241" s="3">
        <v>46182</v>
      </c>
      <c r="J241" s="1">
        <v>10</v>
      </c>
      <c r="K241" s="1">
        <v>0</v>
      </c>
      <c r="L241" s="1">
        <v>240</v>
      </c>
      <c r="M241" s="1">
        <v>4000</v>
      </c>
      <c r="N241" s="1">
        <v>0</v>
      </c>
      <c r="O241" s="1">
        <v>0</v>
      </c>
      <c r="P241" s="1">
        <v>0</v>
      </c>
      <c r="Q241" s="2" t="s">
        <v>227</v>
      </c>
      <c r="R241" s="6" t="s">
        <v>1383</v>
      </c>
      <c r="S241" s="2" t="s">
        <v>25</v>
      </c>
      <c r="T241" s="3"/>
      <c r="V241" s="3"/>
      <c r="W241" s="2" t="s">
        <v>1256</v>
      </c>
    </row>
    <row r="242" spans="1:23" ht="41.25" customHeight="1" x14ac:dyDescent="0.25">
      <c r="A242" s="2" t="s">
        <v>40</v>
      </c>
      <c r="B242" s="5" t="s">
        <v>112</v>
      </c>
      <c r="C242" s="18"/>
      <c r="D242" s="18" t="s">
        <v>30</v>
      </c>
      <c r="E242" s="2" t="s">
        <v>1392</v>
      </c>
      <c r="F242" s="1">
        <v>18</v>
      </c>
      <c r="G242" s="3">
        <v>46182</v>
      </c>
      <c r="H242" s="3"/>
      <c r="I242" s="3">
        <v>46190</v>
      </c>
      <c r="J242" s="1">
        <v>8</v>
      </c>
      <c r="K242" s="1">
        <v>0</v>
      </c>
      <c r="L242" s="1">
        <v>192</v>
      </c>
      <c r="M242" s="1">
        <v>6</v>
      </c>
      <c r="N242" s="1">
        <v>7</v>
      </c>
      <c r="O242" s="1">
        <v>5</v>
      </c>
      <c r="P242" s="1">
        <v>96</v>
      </c>
      <c r="Q242" s="2" t="s">
        <v>51</v>
      </c>
      <c r="R242" s="6" t="s">
        <v>1393</v>
      </c>
      <c r="S242" s="2" t="s">
        <v>25</v>
      </c>
      <c r="T242" s="3"/>
      <c r="V242" s="3"/>
      <c r="W242" s="2" t="s">
        <v>29</v>
      </c>
    </row>
    <row r="243" spans="1:23" ht="41.25" customHeight="1" x14ac:dyDescent="0.25">
      <c r="A243" s="2" t="s">
        <v>40</v>
      </c>
      <c r="B243" s="5" t="s">
        <v>79</v>
      </c>
      <c r="C243" s="18" t="s">
        <v>23</v>
      </c>
      <c r="D243" s="18" t="s">
        <v>41</v>
      </c>
      <c r="E243" s="2" t="s">
        <v>1398</v>
      </c>
      <c r="F243" s="1">
        <v>100</v>
      </c>
      <c r="G243" s="3">
        <v>46130</v>
      </c>
      <c r="H243" s="3"/>
      <c r="I243" s="3">
        <v>46139</v>
      </c>
      <c r="J243" s="1">
        <v>9</v>
      </c>
      <c r="K243" s="1">
        <v>0</v>
      </c>
      <c r="L243" s="1">
        <v>216</v>
      </c>
      <c r="M243" s="1">
        <v>88</v>
      </c>
      <c r="N243" s="1">
        <v>94</v>
      </c>
      <c r="O243" s="1">
        <v>4</v>
      </c>
      <c r="P243" s="1">
        <v>603</v>
      </c>
      <c r="Q243" s="2" t="s">
        <v>51</v>
      </c>
      <c r="R243" s="6" t="s">
        <v>43</v>
      </c>
      <c r="S243" s="2" t="s">
        <v>25</v>
      </c>
      <c r="T243" s="3"/>
      <c r="V243" s="3"/>
      <c r="W243" s="2" t="s">
        <v>29</v>
      </c>
    </row>
    <row r="244" spans="1:23" ht="41.25" customHeight="1" x14ac:dyDescent="0.25">
      <c r="A244" s="2" t="s">
        <v>40</v>
      </c>
      <c r="B244" s="5" t="s">
        <v>79</v>
      </c>
      <c r="C244" s="18" t="s">
        <v>46</v>
      </c>
      <c r="D244" s="18" t="s">
        <v>116</v>
      </c>
      <c r="E244" s="2" t="s">
        <v>1241</v>
      </c>
      <c r="F244" s="1">
        <v>82</v>
      </c>
      <c r="G244" s="3">
        <v>46139</v>
      </c>
      <c r="H244" s="3"/>
      <c r="I244" s="3">
        <v>46154</v>
      </c>
      <c r="J244" s="1">
        <v>15</v>
      </c>
      <c r="K244" s="1">
        <v>0</v>
      </c>
      <c r="L244" s="1">
        <v>360</v>
      </c>
      <c r="M244" s="1">
        <v>262</v>
      </c>
      <c r="N244" s="1">
        <v>93</v>
      </c>
      <c r="O244" s="1">
        <v>15</v>
      </c>
      <c r="P244" s="1">
        <v>2000</v>
      </c>
      <c r="Q244" s="2" t="s">
        <v>103</v>
      </c>
      <c r="R244" s="6" t="s">
        <v>1242</v>
      </c>
      <c r="S244" s="2" t="s">
        <v>25</v>
      </c>
      <c r="T244" s="3"/>
      <c r="V244" s="3"/>
      <c r="W244" s="2" t="s">
        <v>104</v>
      </c>
    </row>
    <row r="245" spans="1:23" ht="41.25" customHeight="1" x14ac:dyDescent="0.25">
      <c r="A245" s="2" t="s">
        <v>40</v>
      </c>
      <c r="B245" s="5" t="s">
        <v>79</v>
      </c>
      <c r="C245" s="18"/>
      <c r="D245" s="18"/>
      <c r="E245" s="2" t="s">
        <v>284</v>
      </c>
      <c r="F245" s="1">
        <v>26</v>
      </c>
      <c r="G245" s="3">
        <v>46154</v>
      </c>
      <c r="H245" s="3"/>
      <c r="I245" s="3">
        <v>46159</v>
      </c>
      <c r="J245" s="1">
        <v>5</v>
      </c>
      <c r="K245" s="1">
        <v>0</v>
      </c>
      <c r="L245" s="1">
        <v>120</v>
      </c>
      <c r="M245" s="1">
        <v>4000</v>
      </c>
      <c r="N245" s="1">
        <v>0</v>
      </c>
      <c r="O245" s="1">
        <v>0</v>
      </c>
      <c r="P245" s="1">
        <v>0</v>
      </c>
      <c r="Q245" s="2" t="s">
        <v>227</v>
      </c>
      <c r="R245" s="6" t="s">
        <v>1385</v>
      </c>
      <c r="S245" s="2" t="s">
        <v>25</v>
      </c>
      <c r="T245" s="3"/>
      <c r="V245" s="3"/>
      <c r="W245" s="2" t="s">
        <v>1256</v>
      </c>
    </row>
    <row r="246" spans="1:23" ht="41.25" customHeight="1" x14ac:dyDescent="0.25">
      <c r="A246" s="2" t="s">
        <v>40</v>
      </c>
      <c r="B246" s="5" t="s">
        <v>79</v>
      </c>
      <c r="C246" s="18"/>
      <c r="D246" s="18"/>
      <c r="E246" s="2" t="s">
        <v>285</v>
      </c>
      <c r="F246" s="1">
        <v>26</v>
      </c>
      <c r="G246" s="3">
        <v>46159</v>
      </c>
      <c r="H246" s="3"/>
      <c r="I246" s="3">
        <v>46164</v>
      </c>
      <c r="J246" s="1">
        <v>5</v>
      </c>
      <c r="K246" s="1">
        <v>0</v>
      </c>
      <c r="L246" s="1">
        <v>120</v>
      </c>
      <c r="M246" s="1">
        <v>4000</v>
      </c>
      <c r="N246" s="1">
        <v>0</v>
      </c>
      <c r="O246" s="1">
        <v>0</v>
      </c>
      <c r="P246" s="1">
        <v>0</v>
      </c>
      <c r="Q246" s="2" t="s">
        <v>227</v>
      </c>
      <c r="R246" s="6" t="s">
        <v>1385</v>
      </c>
      <c r="S246" s="2" t="s">
        <v>25</v>
      </c>
      <c r="T246" s="3"/>
      <c r="V246" s="3"/>
      <c r="W246" s="2" t="s">
        <v>1256</v>
      </c>
    </row>
    <row r="247" spans="1:23" ht="41.25" customHeight="1" x14ac:dyDescent="0.25">
      <c r="A247" s="2" t="s">
        <v>40</v>
      </c>
      <c r="B247" s="5" t="s">
        <v>79</v>
      </c>
      <c r="C247" s="18"/>
      <c r="D247" s="18"/>
      <c r="E247" s="2" t="s">
        <v>221</v>
      </c>
      <c r="G247" s="3">
        <v>46164</v>
      </c>
      <c r="H247" s="3"/>
      <c r="I247" s="3">
        <v>46172</v>
      </c>
      <c r="J247" s="1">
        <v>8</v>
      </c>
      <c r="K247" s="1">
        <v>0</v>
      </c>
      <c r="L247" s="1">
        <v>192</v>
      </c>
      <c r="M247" s="1">
        <v>0</v>
      </c>
      <c r="N247" s="1">
        <v>0</v>
      </c>
      <c r="O247" s="1">
        <v>0</v>
      </c>
      <c r="Q247" s="2" t="s">
        <v>51</v>
      </c>
      <c r="R247" s="6" t="s">
        <v>43</v>
      </c>
      <c r="S247" s="2" t="s">
        <v>25</v>
      </c>
      <c r="T247" s="3"/>
      <c r="V247" s="3"/>
      <c r="W247" s="2" t="s">
        <v>95</v>
      </c>
    </row>
    <row r="248" spans="1:23" ht="41.25" customHeight="1" x14ac:dyDescent="0.25">
      <c r="A248" s="2" t="s">
        <v>40</v>
      </c>
      <c r="B248" s="5" t="s">
        <v>79</v>
      </c>
      <c r="C248" s="18"/>
      <c r="D248" s="18"/>
      <c r="E248" s="2" t="s">
        <v>221</v>
      </c>
      <c r="G248" s="3">
        <v>46172</v>
      </c>
      <c r="H248" s="3"/>
      <c r="I248" s="3">
        <v>46180</v>
      </c>
      <c r="J248" s="1">
        <v>8</v>
      </c>
      <c r="K248" s="1">
        <v>0</v>
      </c>
      <c r="L248" s="1">
        <v>192</v>
      </c>
      <c r="M248" s="1">
        <v>0</v>
      </c>
      <c r="N248" s="1">
        <v>0</v>
      </c>
      <c r="O248" s="1">
        <v>0</v>
      </c>
      <c r="Q248" s="2" t="s">
        <v>51</v>
      </c>
      <c r="R248" s="6" t="s">
        <v>43</v>
      </c>
      <c r="S248" s="2" t="s">
        <v>25</v>
      </c>
      <c r="T248" s="3"/>
      <c r="V248" s="3"/>
      <c r="W248" s="2" t="s">
        <v>95</v>
      </c>
    </row>
    <row r="249" spans="1:23" ht="41.25" customHeight="1" x14ac:dyDescent="0.25">
      <c r="A249" s="2" t="s">
        <v>40</v>
      </c>
      <c r="B249" s="5" t="s">
        <v>79</v>
      </c>
      <c r="C249" s="18"/>
      <c r="D249" s="18"/>
      <c r="E249" s="2" t="s">
        <v>1294</v>
      </c>
      <c r="F249" s="1">
        <v>3</v>
      </c>
      <c r="G249" s="3">
        <v>46180</v>
      </c>
      <c r="H249" s="3"/>
      <c r="I249" s="3">
        <v>46188</v>
      </c>
      <c r="J249" s="1">
        <v>8</v>
      </c>
      <c r="K249" s="1">
        <v>0</v>
      </c>
      <c r="L249" s="1">
        <v>192</v>
      </c>
      <c r="M249" s="1">
        <v>1076</v>
      </c>
      <c r="N249" s="1">
        <v>98</v>
      </c>
      <c r="O249" s="1">
        <v>22</v>
      </c>
      <c r="P249" s="1">
        <v>201</v>
      </c>
      <c r="Q249" s="2" t="s">
        <v>51</v>
      </c>
      <c r="R249" s="6" t="s">
        <v>1171</v>
      </c>
      <c r="S249" s="2" t="s">
        <v>25</v>
      </c>
      <c r="T249" s="3"/>
      <c r="V249" s="3"/>
      <c r="W249" s="2" t="s">
        <v>29</v>
      </c>
    </row>
    <row r="250" spans="1:23" ht="41.25" customHeight="1" x14ac:dyDescent="0.25">
      <c r="A250" s="2" t="s">
        <v>40</v>
      </c>
      <c r="B250" s="5" t="s">
        <v>79</v>
      </c>
      <c r="C250" s="18"/>
      <c r="D250" s="18"/>
      <c r="E250" s="2" t="s">
        <v>221</v>
      </c>
      <c r="G250" s="3">
        <v>46188</v>
      </c>
      <c r="H250" s="3"/>
      <c r="I250" s="3">
        <v>46196</v>
      </c>
      <c r="J250" s="1">
        <v>8</v>
      </c>
      <c r="K250" s="1">
        <v>0</v>
      </c>
      <c r="L250" s="1">
        <v>192</v>
      </c>
      <c r="M250" s="1">
        <v>0</v>
      </c>
      <c r="N250" s="1">
        <v>0</v>
      </c>
      <c r="O250" s="1">
        <v>0</v>
      </c>
      <c r="Q250" s="2" t="s">
        <v>51</v>
      </c>
      <c r="R250" s="6" t="s">
        <v>43</v>
      </c>
      <c r="S250" s="2" t="s">
        <v>25</v>
      </c>
      <c r="T250" s="3"/>
      <c r="V250" s="3"/>
      <c r="W250" s="2" t="s">
        <v>95</v>
      </c>
    </row>
    <row r="251" spans="1:23" ht="41.25" customHeight="1" x14ac:dyDescent="0.25">
      <c r="A251" s="2" t="s">
        <v>40</v>
      </c>
      <c r="B251" s="5" t="s">
        <v>80</v>
      </c>
      <c r="C251" s="18" t="s">
        <v>23</v>
      </c>
      <c r="D251" s="18" t="s">
        <v>41</v>
      </c>
      <c r="E251" s="2" t="s">
        <v>1293</v>
      </c>
      <c r="F251" s="1">
        <v>67</v>
      </c>
      <c r="G251" s="3">
        <v>46129</v>
      </c>
      <c r="H251" s="3"/>
      <c r="I251" s="3">
        <v>46142</v>
      </c>
      <c r="J251" s="1">
        <v>13</v>
      </c>
      <c r="K251" s="1">
        <v>0</v>
      </c>
      <c r="L251" s="1">
        <v>312</v>
      </c>
      <c r="M251" s="1">
        <v>1337</v>
      </c>
      <c r="N251" s="1">
        <v>98</v>
      </c>
      <c r="O251" s="1">
        <v>27</v>
      </c>
      <c r="P251" s="1">
        <v>84</v>
      </c>
      <c r="Q251" s="2" t="s">
        <v>103</v>
      </c>
      <c r="R251" s="6" t="s">
        <v>1465</v>
      </c>
      <c r="S251" s="2" t="s">
        <v>25</v>
      </c>
      <c r="T251" s="3"/>
      <c r="V251" s="3"/>
      <c r="W251" s="2" t="s">
        <v>104</v>
      </c>
    </row>
    <row r="252" spans="1:23" ht="41.25" customHeight="1" x14ac:dyDescent="0.25">
      <c r="A252" s="2" t="s">
        <v>40</v>
      </c>
      <c r="B252" s="5" t="s">
        <v>80</v>
      </c>
      <c r="C252" s="18"/>
      <c r="D252" s="18" t="s">
        <v>1466</v>
      </c>
      <c r="E252" s="2" t="s">
        <v>106</v>
      </c>
      <c r="F252" s="1">
        <v>244</v>
      </c>
      <c r="G252" s="3">
        <v>46142</v>
      </c>
      <c r="H252" s="3"/>
      <c r="I252" s="3">
        <v>46148</v>
      </c>
      <c r="J252" s="1">
        <v>6</v>
      </c>
      <c r="K252" s="1">
        <v>0</v>
      </c>
      <c r="L252" s="1">
        <v>144</v>
      </c>
      <c r="M252" s="1">
        <v>27</v>
      </c>
      <c r="N252" s="1">
        <v>50</v>
      </c>
      <c r="O252" s="1">
        <v>11</v>
      </c>
      <c r="P252" s="1">
        <v>4630</v>
      </c>
      <c r="Q252" s="2" t="s">
        <v>154</v>
      </c>
      <c r="R252" s="6" t="s">
        <v>1535</v>
      </c>
      <c r="S252" s="2" t="s">
        <v>1356</v>
      </c>
      <c r="T252" s="3"/>
      <c r="V252" s="3"/>
      <c r="W252" s="2" t="s">
        <v>27</v>
      </c>
    </row>
    <row r="253" spans="1:23" ht="41.25" customHeight="1" x14ac:dyDescent="0.25">
      <c r="A253" s="2" t="s">
        <v>40</v>
      </c>
      <c r="B253" s="5" t="s">
        <v>80</v>
      </c>
      <c r="C253" s="18"/>
      <c r="D253" s="18" t="s">
        <v>229</v>
      </c>
      <c r="E253" s="2" t="s">
        <v>151</v>
      </c>
      <c r="F253" s="1">
        <v>244</v>
      </c>
      <c r="G253" s="3">
        <v>46148</v>
      </c>
      <c r="H253" s="3"/>
      <c r="I253" s="3">
        <v>46156</v>
      </c>
      <c r="J253" s="1">
        <v>8</v>
      </c>
      <c r="K253" s="1">
        <v>0</v>
      </c>
      <c r="L253" s="1">
        <v>192</v>
      </c>
      <c r="M253" s="1">
        <v>96</v>
      </c>
      <c r="N253" s="1">
        <v>10</v>
      </c>
      <c r="O253" s="1">
        <v>71</v>
      </c>
      <c r="P253" s="1">
        <v>500</v>
      </c>
      <c r="Q253" s="2" t="s">
        <v>89</v>
      </c>
      <c r="R253" s="6" t="s">
        <v>1536</v>
      </c>
      <c r="S253" s="2" t="s">
        <v>1394</v>
      </c>
      <c r="T253" s="3"/>
      <c r="V253" s="3"/>
      <c r="W253" s="2" t="s">
        <v>1395</v>
      </c>
    </row>
    <row r="254" spans="1:23" ht="41.25" customHeight="1" x14ac:dyDescent="0.25">
      <c r="A254" s="2" t="s">
        <v>40</v>
      </c>
      <c r="B254" s="5" t="s">
        <v>80</v>
      </c>
      <c r="C254" s="18"/>
      <c r="D254" s="18"/>
      <c r="E254" s="2" t="s">
        <v>221</v>
      </c>
      <c r="G254" s="3">
        <v>46156</v>
      </c>
      <c r="H254" s="3"/>
      <c r="I254" s="3">
        <v>46164</v>
      </c>
      <c r="J254" s="1">
        <v>8</v>
      </c>
      <c r="K254" s="1">
        <v>0</v>
      </c>
      <c r="L254" s="1">
        <v>192</v>
      </c>
      <c r="M254" s="1">
        <v>0</v>
      </c>
      <c r="N254" s="1">
        <v>0</v>
      </c>
      <c r="O254" s="1">
        <v>0</v>
      </c>
      <c r="Q254" s="2" t="s">
        <v>51</v>
      </c>
      <c r="R254" s="6" t="s">
        <v>43</v>
      </c>
      <c r="S254" s="2" t="s">
        <v>25</v>
      </c>
      <c r="T254" s="3"/>
      <c r="V254" s="3"/>
      <c r="W254" s="2" t="s">
        <v>95</v>
      </c>
    </row>
    <row r="255" spans="1:23" ht="41.25" customHeight="1" x14ac:dyDescent="0.25">
      <c r="A255" s="2" t="s">
        <v>40</v>
      </c>
      <c r="B255" s="5" t="s">
        <v>80</v>
      </c>
      <c r="C255" s="18"/>
      <c r="D255" s="18" t="s">
        <v>30</v>
      </c>
      <c r="E255" s="2" t="s">
        <v>1240</v>
      </c>
      <c r="F255" s="1">
        <v>35</v>
      </c>
      <c r="G255" s="3">
        <v>46164</v>
      </c>
      <c r="H255" s="3"/>
      <c r="I255" s="3">
        <v>46172</v>
      </c>
      <c r="J255" s="1">
        <v>8</v>
      </c>
      <c r="K255" s="1">
        <v>0</v>
      </c>
      <c r="L255" s="1">
        <v>192</v>
      </c>
      <c r="M255" s="1">
        <v>146</v>
      </c>
      <c r="N255" s="1">
        <v>98</v>
      </c>
      <c r="O255" s="1">
        <v>12</v>
      </c>
      <c r="P255" s="1">
        <v>100</v>
      </c>
      <c r="Q255" s="2" t="s">
        <v>51</v>
      </c>
      <c r="R255" s="6" t="s">
        <v>1388</v>
      </c>
      <c r="S255" s="2" t="s">
        <v>25</v>
      </c>
      <c r="T255" s="3"/>
      <c r="V255" s="3"/>
      <c r="W255" s="2" t="s">
        <v>104</v>
      </c>
    </row>
    <row r="256" spans="1:23" ht="41.25" customHeight="1" x14ac:dyDescent="0.25">
      <c r="A256" s="2" t="s">
        <v>40</v>
      </c>
      <c r="B256" s="5" t="s">
        <v>80</v>
      </c>
      <c r="C256" s="18"/>
      <c r="D256" s="18" t="s">
        <v>30</v>
      </c>
      <c r="E256" s="2" t="s">
        <v>1170</v>
      </c>
      <c r="F256" s="1">
        <v>65</v>
      </c>
      <c r="G256" s="3">
        <v>46172</v>
      </c>
      <c r="H256" s="3"/>
      <c r="I256" s="3">
        <v>46180</v>
      </c>
      <c r="J256" s="1">
        <v>8</v>
      </c>
      <c r="K256" s="1">
        <v>0</v>
      </c>
      <c r="L256" s="1">
        <v>192</v>
      </c>
      <c r="M256" s="1">
        <v>40</v>
      </c>
      <c r="N256" s="1">
        <v>91</v>
      </c>
      <c r="O256" s="1">
        <v>3</v>
      </c>
      <c r="P256" s="1">
        <v>111</v>
      </c>
      <c r="Q256" s="2" t="s">
        <v>51</v>
      </c>
      <c r="R256" s="6" t="s">
        <v>43</v>
      </c>
      <c r="S256" s="2" t="s">
        <v>25</v>
      </c>
      <c r="T256" s="3"/>
      <c r="V256" s="3"/>
      <c r="W256" s="2" t="s">
        <v>29</v>
      </c>
    </row>
    <row r="257" spans="1:23" ht="41.25" customHeight="1" x14ac:dyDescent="0.25">
      <c r="A257" s="2" t="s">
        <v>40</v>
      </c>
      <c r="B257" s="5" t="s">
        <v>80</v>
      </c>
      <c r="C257" s="18"/>
      <c r="D257" s="18"/>
      <c r="E257" s="2" t="s">
        <v>1172</v>
      </c>
      <c r="F257" s="1">
        <v>14</v>
      </c>
      <c r="G257" s="3">
        <v>46180</v>
      </c>
      <c r="H257" s="3"/>
      <c r="I257" s="3">
        <v>46190</v>
      </c>
      <c r="J257" s="1">
        <v>10</v>
      </c>
      <c r="K257" s="1">
        <v>0</v>
      </c>
      <c r="L257" s="1">
        <v>240</v>
      </c>
      <c r="M257" s="1">
        <v>200</v>
      </c>
      <c r="N257" s="1">
        <v>0</v>
      </c>
      <c r="O257" s="1">
        <v>0</v>
      </c>
      <c r="P257" s="1">
        <v>0</v>
      </c>
      <c r="Q257" s="2" t="s">
        <v>227</v>
      </c>
      <c r="R257" s="6" t="s">
        <v>257</v>
      </c>
      <c r="S257" s="2" t="s">
        <v>25</v>
      </c>
      <c r="T257" s="3"/>
      <c r="V257" s="3"/>
      <c r="W257" s="2" t="s">
        <v>1256</v>
      </c>
    </row>
    <row r="258" spans="1:23" ht="41.25" customHeight="1" x14ac:dyDescent="0.25">
      <c r="A258" s="2" t="s">
        <v>40</v>
      </c>
      <c r="B258" s="5" t="s">
        <v>80</v>
      </c>
      <c r="C258" s="18"/>
      <c r="D258" s="18"/>
      <c r="E258" s="2" t="s">
        <v>1203</v>
      </c>
      <c r="F258" s="1">
        <v>17</v>
      </c>
      <c r="G258" s="3">
        <v>46190</v>
      </c>
      <c r="H258" s="3"/>
      <c r="I258" s="3">
        <v>46200</v>
      </c>
      <c r="J258" s="1">
        <v>10</v>
      </c>
      <c r="K258" s="1">
        <v>0</v>
      </c>
      <c r="L258" s="1">
        <v>240</v>
      </c>
      <c r="M258" s="1">
        <v>0</v>
      </c>
      <c r="N258" s="1">
        <v>0</v>
      </c>
      <c r="O258" s="1">
        <v>0</v>
      </c>
      <c r="P258" s="1">
        <v>0</v>
      </c>
      <c r="Q258" s="2" t="s">
        <v>227</v>
      </c>
      <c r="R258" s="6" t="s">
        <v>257</v>
      </c>
      <c r="S258" s="2" t="s">
        <v>25</v>
      </c>
      <c r="T258" s="3"/>
      <c r="V258" s="3"/>
      <c r="W258" s="2" t="s">
        <v>1256</v>
      </c>
    </row>
    <row r="259" spans="1:23" ht="41.25" customHeight="1" x14ac:dyDescent="0.25">
      <c r="A259" s="2" t="s">
        <v>40</v>
      </c>
      <c r="B259" s="5" t="s">
        <v>80</v>
      </c>
      <c r="C259" s="18"/>
      <c r="D259" s="18"/>
      <c r="E259" s="2" t="s">
        <v>1143</v>
      </c>
      <c r="F259" s="1">
        <v>10</v>
      </c>
      <c r="G259" s="3">
        <v>46200</v>
      </c>
      <c r="H259" s="3"/>
      <c r="I259" s="3">
        <v>46207</v>
      </c>
      <c r="J259" s="1">
        <v>7</v>
      </c>
      <c r="K259" s="1">
        <v>0</v>
      </c>
      <c r="L259" s="1">
        <v>168</v>
      </c>
      <c r="M259" s="1">
        <v>840</v>
      </c>
      <c r="N259" s="1">
        <v>92</v>
      </c>
      <c r="O259" s="1">
        <v>56</v>
      </c>
      <c r="P259" s="1">
        <v>216</v>
      </c>
      <c r="Q259" s="2" t="s">
        <v>58</v>
      </c>
      <c r="R259" s="6" t="s">
        <v>34</v>
      </c>
      <c r="S259" s="2" t="s">
        <v>25</v>
      </c>
      <c r="T259" s="3"/>
      <c r="V259" s="3"/>
      <c r="W259" s="2" t="s">
        <v>35</v>
      </c>
    </row>
    <row r="260" spans="1:23" ht="41.25" customHeight="1" x14ac:dyDescent="0.25">
      <c r="A260" s="2" t="s">
        <v>40</v>
      </c>
      <c r="B260" s="5" t="s">
        <v>80</v>
      </c>
      <c r="C260" s="18"/>
      <c r="D260" s="18"/>
      <c r="E260" s="2" t="s">
        <v>1144</v>
      </c>
      <c r="F260" s="1">
        <v>39</v>
      </c>
      <c r="G260" s="3">
        <v>46207</v>
      </c>
      <c r="H260" s="3"/>
      <c r="I260" s="3">
        <v>46214</v>
      </c>
      <c r="J260" s="1">
        <v>7</v>
      </c>
      <c r="K260" s="1">
        <v>0</v>
      </c>
      <c r="L260" s="1">
        <v>168</v>
      </c>
      <c r="M260" s="1">
        <v>247</v>
      </c>
      <c r="N260" s="1">
        <v>52</v>
      </c>
      <c r="O260" s="1">
        <v>98</v>
      </c>
      <c r="P260" s="1">
        <v>82</v>
      </c>
      <c r="Q260" s="2" t="s">
        <v>58</v>
      </c>
      <c r="R260" s="6" t="s">
        <v>34</v>
      </c>
      <c r="S260" s="2" t="s">
        <v>25</v>
      </c>
      <c r="T260" s="3"/>
      <c r="V260" s="3"/>
      <c r="W260" s="2" t="s">
        <v>35</v>
      </c>
    </row>
    <row r="261" spans="1:23" ht="41.25" customHeight="1" x14ac:dyDescent="0.25">
      <c r="A261" s="2" t="s">
        <v>40</v>
      </c>
      <c r="B261" s="5" t="s">
        <v>80</v>
      </c>
      <c r="C261" s="18"/>
      <c r="D261" s="18" t="s">
        <v>30</v>
      </c>
      <c r="E261" s="2" t="s">
        <v>1147</v>
      </c>
      <c r="G261" s="3">
        <v>46214</v>
      </c>
      <c r="H261" s="3"/>
      <c r="I261" s="3">
        <v>46222</v>
      </c>
      <c r="J261" s="1">
        <v>8</v>
      </c>
      <c r="K261" s="1">
        <v>0</v>
      </c>
      <c r="L261" s="1">
        <v>192</v>
      </c>
      <c r="M261" s="1">
        <v>146</v>
      </c>
      <c r="N261" s="1">
        <v>60</v>
      </c>
      <c r="O261" s="1">
        <v>49</v>
      </c>
      <c r="P261" s="1">
        <v>210</v>
      </c>
      <c r="Q261" s="2" t="s">
        <v>58</v>
      </c>
      <c r="R261" s="6" t="s">
        <v>34</v>
      </c>
      <c r="S261" s="2" t="s">
        <v>25</v>
      </c>
      <c r="T261" s="3"/>
      <c r="V261" s="3"/>
      <c r="W261" s="2" t="s">
        <v>104</v>
      </c>
    </row>
    <row r="262" spans="1:23" ht="41.25" customHeight="1" x14ac:dyDescent="0.25">
      <c r="A262" s="2" t="s">
        <v>40</v>
      </c>
      <c r="B262" s="5" t="s">
        <v>81</v>
      </c>
      <c r="C262" s="18"/>
      <c r="D262" s="18" t="s">
        <v>41</v>
      </c>
      <c r="E262" s="2" t="s">
        <v>128</v>
      </c>
      <c r="F262" s="1">
        <v>56</v>
      </c>
      <c r="G262" s="3">
        <v>46123</v>
      </c>
      <c r="H262" s="3"/>
      <c r="I262" s="3">
        <v>46154</v>
      </c>
      <c r="J262" s="1">
        <v>31</v>
      </c>
      <c r="K262" s="1">
        <v>0</v>
      </c>
      <c r="L262" s="1">
        <v>744</v>
      </c>
      <c r="M262" s="1">
        <v>115</v>
      </c>
      <c r="N262" s="1">
        <v>0</v>
      </c>
      <c r="O262" s="1">
        <v>0</v>
      </c>
      <c r="Q262" s="2" t="s">
        <v>109</v>
      </c>
      <c r="R262" s="6" t="s">
        <v>1215</v>
      </c>
      <c r="S262" s="2" t="s">
        <v>25</v>
      </c>
      <c r="T262" s="3"/>
      <c r="V262" s="3"/>
      <c r="W262" s="2" t="s">
        <v>95</v>
      </c>
    </row>
    <row r="263" spans="1:23" ht="41.25" customHeight="1" x14ac:dyDescent="0.25">
      <c r="A263" s="2" t="s">
        <v>40</v>
      </c>
      <c r="B263" s="5" t="s">
        <v>81</v>
      </c>
      <c r="C263" s="18" t="s">
        <v>32</v>
      </c>
      <c r="D263" s="18"/>
      <c r="E263" s="2" t="s">
        <v>1537</v>
      </c>
      <c r="F263" s="1">
        <v>51</v>
      </c>
      <c r="G263" s="3">
        <v>46154</v>
      </c>
      <c r="H263" s="3"/>
      <c r="I263" s="3">
        <v>46155</v>
      </c>
      <c r="J263" s="1">
        <v>1</v>
      </c>
      <c r="K263" s="1">
        <v>0</v>
      </c>
      <c r="L263" s="1">
        <v>24</v>
      </c>
      <c r="M263" s="1">
        <v>0</v>
      </c>
      <c r="N263" s="1">
        <v>0</v>
      </c>
      <c r="O263" s="1">
        <v>0</v>
      </c>
      <c r="Q263" s="2" t="s">
        <v>53</v>
      </c>
      <c r="R263" s="6" t="s">
        <v>1538</v>
      </c>
      <c r="S263" s="2" t="s">
        <v>25</v>
      </c>
      <c r="T263" s="3"/>
      <c r="V263" s="3"/>
      <c r="W263" s="2" t="s">
        <v>95</v>
      </c>
    </row>
    <row r="264" spans="1:23" ht="41.25" customHeight="1" x14ac:dyDescent="0.25">
      <c r="A264" s="2" t="s">
        <v>40</v>
      </c>
      <c r="B264" s="5" t="s">
        <v>81</v>
      </c>
      <c r="C264" s="18" t="s">
        <v>23</v>
      </c>
      <c r="D264" s="18"/>
      <c r="E264" s="2" t="s">
        <v>1431</v>
      </c>
      <c r="F264" s="1">
        <v>56</v>
      </c>
      <c r="G264" s="3">
        <v>46155</v>
      </c>
      <c r="H264" s="3"/>
      <c r="I264" s="3">
        <v>46156</v>
      </c>
      <c r="J264" s="1">
        <v>1</v>
      </c>
      <c r="K264" s="1">
        <v>0</v>
      </c>
      <c r="L264" s="1">
        <v>24</v>
      </c>
      <c r="M264" s="1">
        <v>0</v>
      </c>
      <c r="N264" s="1">
        <v>0</v>
      </c>
      <c r="O264" s="1">
        <v>0</v>
      </c>
      <c r="Q264" s="2" t="s">
        <v>53</v>
      </c>
      <c r="R264" s="6" t="s">
        <v>1432</v>
      </c>
      <c r="S264" s="2" t="s">
        <v>25</v>
      </c>
      <c r="T264" s="3"/>
      <c r="V264" s="3"/>
      <c r="W264" s="2" t="s">
        <v>95</v>
      </c>
    </row>
    <row r="265" spans="1:23" ht="41.25" customHeight="1" x14ac:dyDescent="0.25">
      <c r="A265" s="2" t="s">
        <v>40</v>
      </c>
      <c r="B265" s="5" t="s">
        <v>81</v>
      </c>
      <c r="C265" s="18" t="s">
        <v>23</v>
      </c>
      <c r="D265" s="18"/>
      <c r="E265" s="2" t="s">
        <v>1433</v>
      </c>
      <c r="F265" s="1">
        <v>56</v>
      </c>
      <c r="G265" s="3">
        <v>46156</v>
      </c>
      <c r="H265" s="3"/>
      <c r="I265" s="3">
        <v>46157</v>
      </c>
      <c r="J265" s="1">
        <v>1</v>
      </c>
      <c r="K265" s="1">
        <v>0</v>
      </c>
      <c r="L265" s="1">
        <v>24</v>
      </c>
      <c r="M265" s="1">
        <v>194</v>
      </c>
      <c r="N265" s="1">
        <v>0</v>
      </c>
      <c r="O265" s="1">
        <v>0</v>
      </c>
      <c r="P265" s="1">
        <v>100</v>
      </c>
      <c r="Q265" s="2" t="s">
        <v>50</v>
      </c>
      <c r="R265" s="6" t="s">
        <v>1539</v>
      </c>
      <c r="S265" s="2" t="s">
        <v>25</v>
      </c>
      <c r="T265" s="3"/>
      <c r="V265" s="3"/>
      <c r="W265" s="2" t="s">
        <v>95</v>
      </c>
    </row>
    <row r="266" spans="1:23" ht="41.25" customHeight="1" x14ac:dyDescent="0.25">
      <c r="A266" s="2" t="s">
        <v>40</v>
      </c>
      <c r="B266" s="5" t="s">
        <v>81</v>
      </c>
      <c r="C266" s="18" t="s">
        <v>23</v>
      </c>
      <c r="D266" s="18"/>
      <c r="E266" s="2" t="s">
        <v>1435</v>
      </c>
      <c r="F266" s="1">
        <v>56</v>
      </c>
      <c r="G266" s="3">
        <v>46157</v>
      </c>
      <c r="H266" s="3"/>
      <c r="I266" s="3">
        <v>46158</v>
      </c>
      <c r="J266" s="1">
        <v>1</v>
      </c>
      <c r="K266" s="1">
        <v>0</v>
      </c>
      <c r="L266" s="1">
        <v>24</v>
      </c>
      <c r="M266" s="1">
        <v>346</v>
      </c>
      <c r="N266" s="1">
        <v>0</v>
      </c>
      <c r="O266" s="1">
        <v>0</v>
      </c>
      <c r="P266" s="1">
        <v>100</v>
      </c>
      <c r="Q266" s="2" t="s">
        <v>50</v>
      </c>
      <c r="R266" s="6" t="s">
        <v>1539</v>
      </c>
      <c r="S266" s="2" t="s">
        <v>25</v>
      </c>
      <c r="T266" s="3"/>
      <c r="V266" s="3"/>
      <c r="W266" s="2" t="s">
        <v>95</v>
      </c>
    </row>
    <row r="267" spans="1:23" ht="41.25" customHeight="1" x14ac:dyDescent="0.25">
      <c r="A267" s="2" t="s">
        <v>40</v>
      </c>
      <c r="B267" s="5" t="s">
        <v>81</v>
      </c>
      <c r="C267" s="18"/>
      <c r="D267" s="18"/>
      <c r="E267" s="2" t="s">
        <v>268</v>
      </c>
      <c r="F267" s="1">
        <v>50</v>
      </c>
      <c r="G267" s="3">
        <v>46158</v>
      </c>
      <c r="H267" s="3"/>
      <c r="I267" s="3">
        <v>46160</v>
      </c>
      <c r="J267" s="1">
        <v>2</v>
      </c>
      <c r="K267" s="1">
        <v>0</v>
      </c>
      <c r="L267" s="1">
        <v>48</v>
      </c>
      <c r="M267" s="1">
        <v>0</v>
      </c>
      <c r="N267" s="1">
        <v>0</v>
      </c>
      <c r="O267" s="1">
        <v>0</v>
      </c>
      <c r="Q267" s="2" t="s">
        <v>143</v>
      </c>
      <c r="R267" s="6" t="s">
        <v>269</v>
      </c>
      <c r="S267" s="2" t="s">
        <v>25</v>
      </c>
      <c r="T267" s="3"/>
      <c r="V267" s="3"/>
      <c r="W267" s="2" t="s">
        <v>95</v>
      </c>
    </row>
    <row r="268" spans="1:23" ht="41.25" customHeight="1" x14ac:dyDescent="0.25">
      <c r="A268" s="2" t="s">
        <v>40</v>
      </c>
      <c r="B268" s="5" t="s">
        <v>81</v>
      </c>
      <c r="C268" s="18"/>
      <c r="D268" s="18"/>
      <c r="E268" s="2" t="s">
        <v>1436</v>
      </c>
      <c r="F268" s="1">
        <v>50</v>
      </c>
      <c r="G268" s="3">
        <v>46160</v>
      </c>
      <c r="H268" s="3"/>
      <c r="I268" s="3">
        <v>46165</v>
      </c>
      <c r="J268" s="1">
        <v>5</v>
      </c>
      <c r="K268" s="1">
        <v>0</v>
      </c>
      <c r="L268" s="1">
        <v>120</v>
      </c>
      <c r="M268" s="1">
        <v>100</v>
      </c>
      <c r="N268" s="1">
        <v>0</v>
      </c>
      <c r="O268" s="1">
        <v>0</v>
      </c>
      <c r="P268" s="1">
        <v>100</v>
      </c>
      <c r="Q268" s="2" t="s">
        <v>50</v>
      </c>
      <c r="R268" s="6" t="s">
        <v>1434</v>
      </c>
      <c r="S268" s="2" t="s">
        <v>25</v>
      </c>
      <c r="T268" s="3"/>
      <c r="V268" s="3"/>
      <c r="W268" s="2" t="s">
        <v>95</v>
      </c>
    </row>
    <row r="269" spans="1:23" ht="41.25" customHeight="1" x14ac:dyDescent="0.25">
      <c r="A269" s="2" t="s">
        <v>40</v>
      </c>
      <c r="B269" s="5" t="s">
        <v>81</v>
      </c>
      <c r="C269" s="18"/>
      <c r="D269" s="18"/>
      <c r="E269" s="2" t="s">
        <v>270</v>
      </c>
      <c r="F269" s="1">
        <v>50</v>
      </c>
      <c r="G269" s="3">
        <v>46165</v>
      </c>
      <c r="H269" s="3"/>
      <c r="I269" s="3">
        <v>46175</v>
      </c>
      <c r="J269" s="1">
        <v>10</v>
      </c>
      <c r="K269" s="1">
        <v>0</v>
      </c>
      <c r="L269" s="1">
        <v>240</v>
      </c>
      <c r="M269" s="1">
        <v>400</v>
      </c>
      <c r="N269" s="1">
        <v>0</v>
      </c>
      <c r="O269" s="1">
        <v>0</v>
      </c>
      <c r="P269" s="1">
        <v>100</v>
      </c>
      <c r="Q269" s="2" t="s">
        <v>103</v>
      </c>
      <c r="R269" s="6" t="s">
        <v>271</v>
      </c>
      <c r="S269" s="2" t="s">
        <v>25</v>
      </c>
      <c r="T269" s="3"/>
      <c r="V269" s="3"/>
      <c r="W269" s="2" t="s">
        <v>95</v>
      </c>
    </row>
    <row r="270" spans="1:23" ht="41.25" customHeight="1" x14ac:dyDescent="0.25">
      <c r="A270" s="2" t="s">
        <v>40</v>
      </c>
      <c r="B270" s="5" t="s">
        <v>81</v>
      </c>
      <c r="C270" s="18"/>
      <c r="D270" s="18"/>
      <c r="E270" s="2" t="s">
        <v>1252</v>
      </c>
      <c r="F270" s="1">
        <v>50</v>
      </c>
      <c r="G270" s="3">
        <v>46175</v>
      </c>
      <c r="H270" s="3"/>
      <c r="I270" s="3">
        <v>46177</v>
      </c>
      <c r="J270" s="1">
        <v>2</v>
      </c>
      <c r="K270" s="1">
        <v>0</v>
      </c>
      <c r="L270" s="1">
        <v>48</v>
      </c>
      <c r="M270" s="1">
        <v>0</v>
      </c>
      <c r="N270" s="1">
        <v>0</v>
      </c>
      <c r="O270" s="1">
        <v>0</v>
      </c>
      <c r="Q270" s="2" t="s">
        <v>143</v>
      </c>
      <c r="R270" s="6" t="s">
        <v>269</v>
      </c>
      <c r="S270" s="2" t="s">
        <v>25</v>
      </c>
      <c r="T270" s="3"/>
      <c r="V270" s="3"/>
      <c r="W270" s="2" t="s">
        <v>95</v>
      </c>
    </row>
    <row r="271" spans="1:23" ht="41.25" customHeight="1" x14ac:dyDescent="0.25">
      <c r="A271" s="2" t="s">
        <v>40</v>
      </c>
      <c r="B271" s="5" t="s">
        <v>81</v>
      </c>
      <c r="C271" s="18"/>
      <c r="D271" s="18"/>
      <c r="E271" s="2" t="s">
        <v>1295</v>
      </c>
      <c r="F271" s="1">
        <v>701</v>
      </c>
      <c r="G271" s="3">
        <v>46177</v>
      </c>
      <c r="H271" s="3"/>
      <c r="I271" s="3">
        <v>46187</v>
      </c>
      <c r="J271" s="1">
        <v>10</v>
      </c>
      <c r="K271" s="1">
        <v>0</v>
      </c>
      <c r="L271" s="1">
        <v>240</v>
      </c>
      <c r="M271" s="1">
        <v>200</v>
      </c>
      <c r="N271" s="1">
        <v>0</v>
      </c>
      <c r="O271" s="1">
        <v>0</v>
      </c>
      <c r="Q271" s="2" t="s">
        <v>103</v>
      </c>
      <c r="R271" s="6" t="s">
        <v>1296</v>
      </c>
      <c r="S271" s="2" t="s">
        <v>25</v>
      </c>
      <c r="T271" s="3"/>
      <c r="V271" s="3"/>
      <c r="W271" s="2" t="s">
        <v>95</v>
      </c>
    </row>
    <row r="272" spans="1:23" ht="41.25" customHeight="1" x14ac:dyDescent="0.25">
      <c r="A272" s="2" t="s">
        <v>40</v>
      </c>
      <c r="B272" s="5" t="s">
        <v>81</v>
      </c>
      <c r="C272" s="18"/>
      <c r="D272" s="18"/>
      <c r="E272" s="2" t="s">
        <v>1297</v>
      </c>
      <c r="F272" s="1">
        <v>701</v>
      </c>
      <c r="G272" s="3">
        <v>46187</v>
      </c>
      <c r="H272" s="3"/>
      <c r="I272" s="3">
        <v>46197</v>
      </c>
      <c r="J272" s="1">
        <v>10</v>
      </c>
      <c r="K272" s="1">
        <v>0</v>
      </c>
      <c r="L272" s="1">
        <v>240</v>
      </c>
      <c r="M272" s="1">
        <v>100</v>
      </c>
      <c r="N272" s="1">
        <v>0</v>
      </c>
      <c r="O272" s="1">
        <v>0</v>
      </c>
      <c r="Q272" s="2" t="s">
        <v>103</v>
      </c>
      <c r="R272" s="6" t="s">
        <v>1298</v>
      </c>
      <c r="S272" s="2" t="s">
        <v>25</v>
      </c>
      <c r="T272" s="3"/>
      <c r="V272" s="3"/>
      <c r="W272" s="2" t="s">
        <v>95</v>
      </c>
    </row>
    <row r="273" spans="1:23" ht="41.25" customHeight="1" x14ac:dyDescent="0.25">
      <c r="A273" s="2" t="s">
        <v>40</v>
      </c>
      <c r="B273" s="5" t="s">
        <v>81</v>
      </c>
      <c r="C273" s="18"/>
      <c r="D273" s="18"/>
      <c r="E273" s="2" t="s">
        <v>1299</v>
      </c>
      <c r="F273" s="1">
        <v>701</v>
      </c>
      <c r="G273" s="3">
        <v>46197</v>
      </c>
      <c r="H273" s="3"/>
      <c r="I273" s="3">
        <v>46207</v>
      </c>
      <c r="J273" s="1">
        <v>10</v>
      </c>
      <c r="K273" s="1">
        <v>0</v>
      </c>
      <c r="L273" s="1">
        <v>240</v>
      </c>
      <c r="M273" s="1">
        <v>100</v>
      </c>
      <c r="N273" s="1">
        <v>0</v>
      </c>
      <c r="O273" s="1">
        <v>0</v>
      </c>
      <c r="Q273" s="2" t="s">
        <v>103</v>
      </c>
      <c r="R273" s="6" t="s">
        <v>1298</v>
      </c>
      <c r="S273" s="2" t="s">
        <v>25</v>
      </c>
      <c r="T273" s="3"/>
      <c r="V273" s="3"/>
      <c r="W273" s="2" t="s">
        <v>95</v>
      </c>
    </row>
    <row r="274" spans="1:23" ht="41.25" customHeight="1" x14ac:dyDescent="0.25">
      <c r="A274" s="2" t="s">
        <v>40</v>
      </c>
      <c r="B274" s="5" t="s">
        <v>81</v>
      </c>
      <c r="C274" s="18"/>
      <c r="D274" s="18" t="s">
        <v>1462</v>
      </c>
      <c r="E274" s="2" t="s">
        <v>312</v>
      </c>
      <c r="F274" s="1">
        <v>230</v>
      </c>
      <c r="G274" s="3">
        <v>46207</v>
      </c>
      <c r="H274" s="3"/>
      <c r="I274" s="3">
        <v>46210</v>
      </c>
      <c r="J274" s="1">
        <v>3</v>
      </c>
      <c r="K274" s="1">
        <v>0</v>
      </c>
      <c r="L274" s="1">
        <v>72</v>
      </c>
      <c r="M274" s="1">
        <v>250</v>
      </c>
      <c r="N274" s="1">
        <v>0</v>
      </c>
      <c r="O274" s="1">
        <v>0</v>
      </c>
      <c r="P274" s="1">
        <v>0</v>
      </c>
      <c r="Q274" s="2" t="s">
        <v>53</v>
      </c>
      <c r="R274" s="6" t="s">
        <v>43</v>
      </c>
      <c r="S274" s="2" t="s">
        <v>25</v>
      </c>
      <c r="T274" s="3"/>
      <c r="V274" s="3"/>
      <c r="W274" s="2" t="s">
        <v>1256</v>
      </c>
    </row>
    <row r="275" spans="1:23" ht="41.25" customHeight="1" x14ac:dyDescent="0.25">
      <c r="A275" s="2" t="s">
        <v>40</v>
      </c>
      <c r="B275" s="5" t="s">
        <v>81</v>
      </c>
      <c r="C275" s="18"/>
      <c r="D275" s="18"/>
      <c r="E275" s="2" t="s">
        <v>1540</v>
      </c>
      <c r="F275" s="1">
        <v>230</v>
      </c>
      <c r="G275" s="3">
        <v>46210</v>
      </c>
      <c r="H275" s="3"/>
      <c r="I275" s="3">
        <v>46220</v>
      </c>
      <c r="J275" s="1">
        <v>10</v>
      </c>
      <c r="K275" s="1">
        <v>0</v>
      </c>
      <c r="L275" s="1">
        <v>240</v>
      </c>
      <c r="M275" s="1">
        <v>400</v>
      </c>
      <c r="N275" s="1">
        <v>0</v>
      </c>
      <c r="O275" s="1">
        <v>0</v>
      </c>
      <c r="Q275" s="2" t="s">
        <v>1529</v>
      </c>
      <c r="R275" s="6" t="s">
        <v>1541</v>
      </c>
      <c r="S275" s="2" t="s">
        <v>25</v>
      </c>
      <c r="T275" s="3"/>
      <c r="V275" s="3"/>
      <c r="W275" s="2" t="s">
        <v>95</v>
      </c>
    </row>
    <row r="276" spans="1:23" ht="41.25" customHeight="1" x14ac:dyDescent="0.25">
      <c r="A276" s="2" t="s">
        <v>40</v>
      </c>
      <c r="B276" s="5" t="s">
        <v>81</v>
      </c>
      <c r="C276" s="18"/>
      <c r="D276" s="18"/>
      <c r="E276" s="2" t="s">
        <v>126</v>
      </c>
      <c r="F276" s="1">
        <v>704</v>
      </c>
      <c r="G276" s="3">
        <v>46220</v>
      </c>
      <c r="H276" s="3"/>
      <c r="I276" s="3">
        <v>46230</v>
      </c>
      <c r="J276" s="1">
        <v>10</v>
      </c>
      <c r="K276" s="1">
        <v>0</v>
      </c>
      <c r="L276" s="1">
        <v>240</v>
      </c>
      <c r="M276" s="1">
        <v>400</v>
      </c>
      <c r="N276" s="1">
        <v>0</v>
      </c>
      <c r="O276" s="1">
        <v>0</v>
      </c>
      <c r="Q276" s="2" t="s">
        <v>103</v>
      </c>
      <c r="R276" s="6" t="s">
        <v>124</v>
      </c>
      <c r="S276" s="2" t="s">
        <v>25</v>
      </c>
      <c r="T276" s="3"/>
      <c r="V276" s="3"/>
      <c r="W276" s="2" t="s">
        <v>95</v>
      </c>
    </row>
    <row r="277" spans="1:23" ht="41.25" customHeight="1" x14ac:dyDescent="0.25">
      <c r="A277" s="2" t="s">
        <v>40</v>
      </c>
      <c r="B277" s="5" t="s">
        <v>174</v>
      </c>
      <c r="C277" s="18" t="s">
        <v>23</v>
      </c>
      <c r="D277" s="18" t="s">
        <v>41</v>
      </c>
      <c r="E277" s="2" t="s">
        <v>333</v>
      </c>
      <c r="F277" s="1">
        <v>32</v>
      </c>
      <c r="G277" s="3">
        <v>46134</v>
      </c>
      <c r="H277" s="3"/>
      <c r="I277" s="3">
        <v>46140</v>
      </c>
      <c r="J277" s="1">
        <v>6</v>
      </c>
      <c r="K277" s="1">
        <v>0</v>
      </c>
      <c r="L277" s="1">
        <v>144</v>
      </c>
      <c r="M277" s="1">
        <v>0</v>
      </c>
      <c r="N277" s="1">
        <v>0</v>
      </c>
      <c r="O277" s="1">
        <v>0</v>
      </c>
      <c r="P277" s="1">
        <v>0</v>
      </c>
      <c r="Q277" s="2" t="s">
        <v>61</v>
      </c>
      <c r="R277" s="6" t="s">
        <v>261</v>
      </c>
      <c r="S277" s="2" t="s">
        <v>25</v>
      </c>
      <c r="T277" s="3"/>
      <c r="V277" s="3"/>
      <c r="W277" s="2" t="s">
        <v>1227</v>
      </c>
    </row>
    <row r="278" spans="1:23" ht="41.25" customHeight="1" x14ac:dyDescent="0.25">
      <c r="A278" s="2" t="s">
        <v>40</v>
      </c>
      <c r="B278" s="5" t="s">
        <v>174</v>
      </c>
      <c r="C278" s="18" t="s">
        <v>23</v>
      </c>
      <c r="D278" s="18" t="s">
        <v>116</v>
      </c>
      <c r="E278" s="2" t="s">
        <v>289</v>
      </c>
      <c r="F278" s="1">
        <v>18</v>
      </c>
      <c r="G278" s="3">
        <v>46140</v>
      </c>
      <c r="H278" s="3"/>
      <c r="I278" s="3">
        <v>46150</v>
      </c>
      <c r="J278" s="1">
        <v>10</v>
      </c>
      <c r="K278" s="1">
        <v>0</v>
      </c>
      <c r="L278" s="1">
        <v>240</v>
      </c>
      <c r="M278" s="1">
        <v>230</v>
      </c>
      <c r="N278" s="1">
        <v>93</v>
      </c>
      <c r="O278" s="1">
        <v>13</v>
      </c>
      <c r="P278" s="1">
        <v>300</v>
      </c>
      <c r="Q278" s="2" t="s">
        <v>103</v>
      </c>
      <c r="R278" s="6" t="s">
        <v>290</v>
      </c>
      <c r="S278" s="2" t="s">
        <v>25</v>
      </c>
      <c r="T278" s="3"/>
      <c r="V278" s="3"/>
      <c r="W278" s="2" t="s">
        <v>35</v>
      </c>
    </row>
    <row r="279" spans="1:23" ht="41.25" customHeight="1" x14ac:dyDescent="0.25">
      <c r="A279" s="2" t="s">
        <v>40</v>
      </c>
      <c r="B279" s="5" t="s">
        <v>174</v>
      </c>
      <c r="C279" s="18" t="s">
        <v>32</v>
      </c>
      <c r="D279" s="18" t="s">
        <v>1466</v>
      </c>
      <c r="E279" s="2" t="s">
        <v>761</v>
      </c>
      <c r="F279" s="1">
        <v>48</v>
      </c>
      <c r="G279" s="3">
        <v>46150</v>
      </c>
      <c r="H279" s="3"/>
      <c r="I279" s="3">
        <v>46160</v>
      </c>
      <c r="J279" s="1">
        <v>10</v>
      </c>
      <c r="K279" s="1">
        <v>0</v>
      </c>
      <c r="L279" s="1">
        <v>240</v>
      </c>
      <c r="M279" s="1">
        <v>39</v>
      </c>
      <c r="N279" s="1">
        <v>45</v>
      </c>
      <c r="O279" s="1">
        <v>18</v>
      </c>
      <c r="P279" s="1">
        <v>3224</v>
      </c>
      <c r="Q279" s="2" t="s">
        <v>157</v>
      </c>
      <c r="R279" s="6" t="s">
        <v>1542</v>
      </c>
      <c r="S279" s="2" t="s">
        <v>25</v>
      </c>
      <c r="T279" s="3"/>
      <c r="V279" s="3"/>
      <c r="W279" s="2" t="s">
        <v>95</v>
      </c>
    </row>
    <row r="280" spans="1:23" ht="41.25" customHeight="1" x14ac:dyDescent="0.25">
      <c r="A280" s="2" t="s">
        <v>40</v>
      </c>
      <c r="B280" s="5" t="s">
        <v>174</v>
      </c>
      <c r="C280" s="18" t="s">
        <v>23</v>
      </c>
      <c r="D280" s="18"/>
      <c r="E280" s="2" t="s">
        <v>1192</v>
      </c>
      <c r="F280" s="1">
        <v>31</v>
      </c>
      <c r="G280" s="3">
        <v>46160</v>
      </c>
      <c r="H280" s="3"/>
      <c r="I280" s="3">
        <v>46167</v>
      </c>
      <c r="J280" s="1">
        <v>7</v>
      </c>
      <c r="K280" s="1">
        <v>0</v>
      </c>
      <c r="L280" s="1">
        <v>168</v>
      </c>
      <c r="M280" s="1">
        <v>0</v>
      </c>
      <c r="N280" s="1">
        <v>0</v>
      </c>
      <c r="O280" s="1">
        <v>0</v>
      </c>
      <c r="P280" s="1">
        <v>0</v>
      </c>
      <c r="Q280" s="2" t="s">
        <v>61</v>
      </c>
      <c r="R280" s="6" t="s">
        <v>261</v>
      </c>
      <c r="S280" s="2" t="s">
        <v>25</v>
      </c>
      <c r="T280" s="3"/>
      <c r="V280" s="3"/>
      <c r="W280" s="2" t="s">
        <v>1227</v>
      </c>
    </row>
    <row r="281" spans="1:23" ht="41.25" customHeight="1" x14ac:dyDescent="0.25">
      <c r="A281" s="2" t="s">
        <v>40</v>
      </c>
      <c r="B281" s="5" t="s">
        <v>174</v>
      </c>
      <c r="C281" s="18" t="s">
        <v>23</v>
      </c>
      <c r="D281" s="18" t="s">
        <v>30</v>
      </c>
      <c r="E281" s="2" t="s">
        <v>1145</v>
      </c>
      <c r="F281" s="1">
        <v>31</v>
      </c>
      <c r="G281" s="3">
        <v>46167</v>
      </c>
      <c r="H281" s="3"/>
      <c r="I281" s="3">
        <v>46179</v>
      </c>
      <c r="J281" s="1">
        <v>12</v>
      </c>
      <c r="K281" s="1">
        <v>0</v>
      </c>
      <c r="L281" s="1">
        <v>288</v>
      </c>
      <c r="M281" s="1">
        <v>945</v>
      </c>
      <c r="N281" s="1">
        <v>99</v>
      </c>
      <c r="O281" s="1">
        <v>10</v>
      </c>
      <c r="P281" s="1">
        <v>313</v>
      </c>
      <c r="Q281" s="2" t="s">
        <v>96</v>
      </c>
      <c r="R281" s="6" t="s">
        <v>1146</v>
      </c>
      <c r="S281" s="2" t="s">
        <v>25</v>
      </c>
      <c r="T281" s="3"/>
      <c r="V281" s="3"/>
      <c r="W281" s="2" t="s">
        <v>35</v>
      </c>
    </row>
    <row r="282" spans="1:23" ht="41.25" customHeight="1" x14ac:dyDescent="0.25">
      <c r="A282" s="2" t="s">
        <v>40</v>
      </c>
      <c r="B282" s="5" t="s">
        <v>174</v>
      </c>
      <c r="C282" s="18"/>
      <c r="D282" s="18"/>
      <c r="E282" s="2" t="s">
        <v>1194</v>
      </c>
      <c r="F282" s="1">
        <v>59</v>
      </c>
      <c r="G282" s="3">
        <v>46179</v>
      </c>
      <c r="H282" s="3"/>
      <c r="I282" s="3">
        <v>46189</v>
      </c>
      <c r="J282" s="1">
        <v>10</v>
      </c>
      <c r="K282" s="1">
        <v>0</v>
      </c>
      <c r="L282" s="1">
        <v>240</v>
      </c>
      <c r="M282" s="1">
        <v>0</v>
      </c>
      <c r="N282" s="1">
        <v>0</v>
      </c>
      <c r="O282" s="1">
        <v>0</v>
      </c>
      <c r="P282" s="1">
        <v>0</v>
      </c>
      <c r="Q282" s="2" t="s">
        <v>54</v>
      </c>
      <c r="R282" s="6" t="s">
        <v>44</v>
      </c>
      <c r="S282" s="2" t="s">
        <v>25</v>
      </c>
      <c r="T282" s="3"/>
      <c r="V282" s="3"/>
      <c r="W282" s="2" t="s">
        <v>1256</v>
      </c>
    </row>
    <row r="283" spans="1:23" ht="41.25" customHeight="1" x14ac:dyDescent="0.25">
      <c r="A283" s="2" t="s">
        <v>40</v>
      </c>
      <c r="B283" s="5" t="s">
        <v>174</v>
      </c>
      <c r="C283" s="18"/>
      <c r="D283" s="18"/>
      <c r="E283" s="2" t="s">
        <v>221</v>
      </c>
      <c r="G283" s="3">
        <v>46189</v>
      </c>
      <c r="H283" s="3"/>
      <c r="I283" s="3">
        <v>46196</v>
      </c>
      <c r="J283" s="1">
        <v>7</v>
      </c>
      <c r="K283" s="1">
        <v>0</v>
      </c>
      <c r="L283" s="1">
        <v>168</v>
      </c>
      <c r="M283" s="1">
        <v>0</v>
      </c>
      <c r="N283" s="1">
        <v>0</v>
      </c>
      <c r="O283" s="1">
        <v>0</v>
      </c>
      <c r="Q283" s="2" t="s">
        <v>51</v>
      </c>
      <c r="R283" s="6" t="s">
        <v>43</v>
      </c>
      <c r="S283" s="2" t="s">
        <v>25</v>
      </c>
      <c r="T283" s="3"/>
      <c r="V283" s="3"/>
      <c r="W283" s="2" t="s">
        <v>95</v>
      </c>
    </row>
    <row r="284" spans="1:23" ht="41.25" customHeight="1" x14ac:dyDescent="0.25">
      <c r="A284" s="2" t="s">
        <v>40</v>
      </c>
      <c r="B284" s="5" t="s">
        <v>174</v>
      </c>
      <c r="C284" s="18"/>
      <c r="D284" s="18"/>
      <c r="E284" s="2" t="s">
        <v>221</v>
      </c>
      <c r="G284" s="3">
        <v>46196</v>
      </c>
      <c r="H284" s="3"/>
      <c r="I284" s="3">
        <v>46203</v>
      </c>
      <c r="J284" s="1">
        <v>7</v>
      </c>
      <c r="K284" s="1">
        <v>0</v>
      </c>
      <c r="L284" s="1">
        <v>168</v>
      </c>
      <c r="M284" s="1">
        <v>0</v>
      </c>
      <c r="N284" s="1">
        <v>0</v>
      </c>
      <c r="O284" s="1">
        <v>0</v>
      </c>
      <c r="Q284" s="2" t="s">
        <v>51</v>
      </c>
      <c r="R284" s="6" t="s">
        <v>43</v>
      </c>
      <c r="S284" s="2" t="s">
        <v>25</v>
      </c>
      <c r="T284" s="3"/>
      <c r="V284" s="3"/>
      <c r="W284" s="2" t="s">
        <v>95</v>
      </c>
    </row>
    <row r="285" spans="1:23" ht="41.25" customHeight="1" x14ac:dyDescent="0.25">
      <c r="A285" s="2" t="s">
        <v>40</v>
      </c>
      <c r="B285" s="5" t="s">
        <v>174</v>
      </c>
      <c r="C285" s="18"/>
      <c r="D285" s="18"/>
      <c r="E285" s="2" t="s">
        <v>221</v>
      </c>
      <c r="G285" s="3">
        <v>46203</v>
      </c>
      <c r="H285" s="3"/>
      <c r="I285" s="3">
        <v>46210</v>
      </c>
      <c r="J285" s="1">
        <v>7</v>
      </c>
      <c r="K285" s="1">
        <v>0</v>
      </c>
      <c r="L285" s="1">
        <v>168</v>
      </c>
      <c r="M285" s="1">
        <v>0</v>
      </c>
      <c r="N285" s="1">
        <v>0</v>
      </c>
      <c r="O285" s="1">
        <v>0</v>
      </c>
      <c r="Q285" s="2" t="s">
        <v>51</v>
      </c>
      <c r="R285" s="6" t="s">
        <v>43</v>
      </c>
      <c r="S285" s="2" t="s">
        <v>25</v>
      </c>
      <c r="T285" s="3"/>
      <c r="V285" s="3"/>
      <c r="W285" s="2" t="s">
        <v>95</v>
      </c>
    </row>
    <row r="286" spans="1:23" ht="41.25" customHeight="1" x14ac:dyDescent="0.25">
      <c r="A286" s="2" t="s">
        <v>40</v>
      </c>
      <c r="B286" s="5" t="s">
        <v>174</v>
      </c>
      <c r="C286" s="18"/>
      <c r="D286" s="18"/>
      <c r="E286" s="2" t="s">
        <v>1228</v>
      </c>
      <c r="F286" s="1">
        <v>27</v>
      </c>
      <c r="G286" s="3">
        <v>46210</v>
      </c>
      <c r="H286" s="3"/>
      <c r="I286" s="3">
        <v>46220</v>
      </c>
      <c r="J286" s="1">
        <v>10</v>
      </c>
      <c r="K286" s="1">
        <v>0</v>
      </c>
      <c r="L286" s="1">
        <v>240</v>
      </c>
      <c r="M286" s="1">
        <v>0</v>
      </c>
      <c r="N286" s="1">
        <v>0</v>
      </c>
      <c r="O286" s="1">
        <v>0</v>
      </c>
      <c r="P286" s="1">
        <v>192</v>
      </c>
      <c r="Q286" s="2" t="s">
        <v>103</v>
      </c>
      <c r="R286" s="6" t="s">
        <v>1140</v>
      </c>
      <c r="S286" s="2" t="s">
        <v>25</v>
      </c>
      <c r="T286" s="3">
        <v>46232</v>
      </c>
      <c r="U286" s="1">
        <v>1</v>
      </c>
      <c r="V286" s="3">
        <v>46236</v>
      </c>
      <c r="W286" s="2" t="s">
        <v>35</v>
      </c>
    </row>
    <row r="287" spans="1:23" ht="41.25" customHeight="1" x14ac:dyDescent="0.25">
      <c r="A287" s="2" t="s">
        <v>40</v>
      </c>
      <c r="B287" s="5" t="s">
        <v>174</v>
      </c>
      <c r="C287" s="18"/>
      <c r="D287" s="18"/>
      <c r="E287" s="2" t="s">
        <v>1229</v>
      </c>
      <c r="F287" s="1">
        <v>48</v>
      </c>
      <c r="G287" s="3">
        <v>46220</v>
      </c>
      <c r="H287" s="3"/>
      <c r="I287" s="3">
        <v>46230</v>
      </c>
      <c r="J287" s="1">
        <v>10</v>
      </c>
      <c r="K287" s="1">
        <v>0</v>
      </c>
      <c r="L287" s="1">
        <v>240</v>
      </c>
      <c r="M287" s="1">
        <v>0</v>
      </c>
      <c r="N287" s="1">
        <v>0</v>
      </c>
      <c r="O287" s="1">
        <v>0</v>
      </c>
      <c r="P287" s="1">
        <v>168</v>
      </c>
      <c r="Q287" s="2" t="s">
        <v>103</v>
      </c>
      <c r="R287" s="6" t="s">
        <v>1140</v>
      </c>
      <c r="S287" s="2" t="s">
        <v>25</v>
      </c>
      <c r="T287" s="3">
        <v>46242</v>
      </c>
      <c r="U287" s="1">
        <v>1</v>
      </c>
      <c r="V287" s="3">
        <v>46246</v>
      </c>
      <c r="W287" s="2" t="s">
        <v>35</v>
      </c>
    </row>
    <row r="288" spans="1:23" ht="41.25" customHeight="1" x14ac:dyDescent="0.25">
      <c r="A288" s="2" t="s">
        <v>40</v>
      </c>
      <c r="B288" s="5" t="s">
        <v>174</v>
      </c>
      <c r="C288" s="18"/>
      <c r="D288" s="18"/>
      <c r="E288" s="2" t="s">
        <v>1191</v>
      </c>
      <c r="G288" s="3">
        <v>46230</v>
      </c>
      <c r="H288" s="3"/>
      <c r="I288" s="3">
        <v>46233</v>
      </c>
      <c r="J288" s="1">
        <v>3</v>
      </c>
      <c r="K288" s="1">
        <v>0</v>
      </c>
      <c r="L288" s="1">
        <v>72</v>
      </c>
      <c r="M288" s="1">
        <v>0</v>
      </c>
      <c r="N288" s="1">
        <v>0</v>
      </c>
      <c r="O288" s="1">
        <v>0</v>
      </c>
      <c r="P288" s="1">
        <v>100</v>
      </c>
      <c r="Q288" s="2" t="s">
        <v>61</v>
      </c>
      <c r="R288" s="6" t="s">
        <v>261</v>
      </c>
      <c r="S288" s="2" t="s">
        <v>25</v>
      </c>
      <c r="T288" s="3"/>
      <c r="V288" s="3"/>
      <c r="W288" s="2" t="s">
        <v>95</v>
      </c>
    </row>
    <row r="289" spans="1:23" ht="41.25" customHeight="1" x14ac:dyDescent="0.25">
      <c r="A289" s="2" t="s">
        <v>40</v>
      </c>
      <c r="B289" s="5" t="s">
        <v>196</v>
      </c>
      <c r="C289" s="18" t="s">
        <v>23</v>
      </c>
      <c r="D289" s="18" t="s">
        <v>41</v>
      </c>
      <c r="E289" s="2" t="s">
        <v>1193</v>
      </c>
      <c r="F289" s="1">
        <v>18</v>
      </c>
      <c r="G289" s="3">
        <v>46129</v>
      </c>
      <c r="H289" s="3"/>
      <c r="I289" s="3">
        <v>46138</v>
      </c>
      <c r="J289" s="1">
        <v>9</v>
      </c>
      <c r="K289" s="1">
        <v>0</v>
      </c>
      <c r="L289" s="1">
        <v>216</v>
      </c>
      <c r="M289" s="1">
        <v>0</v>
      </c>
      <c r="N289" s="1">
        <v>0</v>
      </c>
      <c r="O289" s="1">
        <v>0</v>
      </c>
      <c r="P289" s="1">
        <v>0</v>
      </c>
      <c r="Q289" s="2" t="s">
        <v>61</v>
      </c>
      <c r="R289" s="6" t="s">
        <v>261</v>
      </c>
      <c r="S289" s="2" t="s">
        <v>25</v>
      </c>
      <c r="T289" s="3"/>
      <c r="V289" s="3"/>
      <c r="W289" s="2" t="s">
        <v>1227</v>
      </c>
    </row>
    <row r="290" spans="1:23" ht="41.25" customHeight="1" x14ac:dyDescent="0.25">
      <c r="A290" s="2" t="s">
        <v>40</v>
      </c>
      <c r="B290" s="5" t="s">
        <v>196</v>
      </c>
      <c r="C290" s="18"/>
      <c r="D290" s="18" t="s">
        <v>116</v>
      </c>
      <c r="E290" s="2" t="s">
        <v>239</v>
      </c>
      <c r="F290" s="1">
        <v>3</v>
      </c>
      <c r="G290" s="3">
        <v>46138</v>
      </c>
      <c r="H290" s="3"/>
      <c r="I290" s="3">
        <v>46145</v>
      </c>
      <c r="J290" s="1">
        <v>7</v>
      </c>
      <c r="K290" s="1">
        <v>0</v>
      </c>
      <c r="L290" s="1">
        <v>168</v>
      </c>
      <c r="M290" s="1">
        <v>810</v>
      </c>
      <c r="N290" s="1">
        <v>90</v>
      </c>
      <c r="O290" s="1">
        <v>67</v>
      </c>
      <c r="P290" s="1">
        <v>265</v>
      </c>
      <c r="Q290" s="2" t="s">
        <v>51</v>
      </c>
      <c r="R290" s="6" t="s">
        <v>43</v>
      </c>
      <c r="S290" s="2" t="s">
        <v>25</v>
      </c>
      <c r="T290" s="3">
        <v>46082</v>
      </c>
      <c r="U290" s="1">
        <v>1</v>
      </c>
      <c r="V290" s="3">
        <v>46084</v>
      </c>
      <c r="W290" s="2" t="s">
        <v>25</v>
      </c>
    </row>
    <row r="291" spans="1:23" ht="41.25" customHeight="1" x14ac:dyDescent="0.25">
      <c r="A291" s="2" t="s">
        <v>40</v>
      </c>
      <c r="B291" s="5" t="s">
        <v>196</v>
      </c>
      <c r="C291" s="18" t="s">
        <v>32</v>
      </c>
      <c r="D291" s="18" t="s">
        <v>116</v>
      </c>
      <c r="E291" s="2" t="s">
        <v>1142</v>
      </c>
      <c r="F291" s="1">
        <v>19</v>
      </c>
      <c r="G291" s="3">
        <v>46145</v>
      </c>
      <c r="H291" s="3"/>
      <c r="I291" s="3">
        <v>46152</v>
      </c>
      <c r="J291" s="1">
        <v>7</v>
      </c>
      <c r="K291" s="1">
        <v>0</v>
      </c>
      <c r="L291" s="1">
        <v>168</v>
      </c>
      <c r="M291" s="1">
        <v>196</v>
      </c>
      <c r="N291" s="1">
        <v>80</v>
      </c>
      <c r="O291" s="1">
        <v>32</v>
      </c>
      <c r="P291" s="1">
        <v>56</v>
      </c>
      <c r="Q291" s="2" t="s">
        <v>58</v>
      </c>
      <c r="R291" s="6" t="s">
        <v>1287</v>
      </c>
      <c r="S291" s="2" t="s">
        <v>25</v>
      </c>
      <c r="T291" s="3"/>
      <c r="V291" s="3"/>
      <c r="W291" s="2" t="s">
        <v>35</v>
      </c>
    </row>
    <row r="292" spans="1:23" ht="41.25" customHeight="1" x14ac:dyDescent="0.25">
      <c r="A292" s="2" t="s">
        <v>40</v>
      </c>
      <c r="B292" s="5" t="s">
        <v>196</v>
      </c>
      <c r="C292" s="18"/>
      <c r="D292" s="18"/>
      <c r="E292" s="2" t="s">
        <v>221</v>
      </c>
      <c r="G292" s="3">
        <v>46152</v>
      </c>
      <c r="H292" s="3"/>
      <c r="I292" s="3">
        <v>46159</v>
      </c>
      <c r="J292" s="1">
        <v>7</v>
      </c>
      <c r="K292" s="1">
        <v>0</v>
      </c>
      <c r="L292" s="1">
        <v>168</v>
      </c>
      <c r="M292" s="1">
        <v>0</v>
      </c>
      <c r="N292" s="1">
        <v>0</v>
      </c>
      <c r="Q292" s="2" t="s">
        <v>51</v>
      </c>
      <c r="R292" s="6" t="s">
        <v>43</v>
      </c>
      <c r="S292" s="2" t="s">
        <v>25</v>
      </c>
      <c r="T292" s="3"/>
      <c r="V292" s="3"/>
      <c r="W292" s="2" t="s">
        <v>95</v>
      </c>
    </row>
    <row r="293" spans="1:23" ht="41.25" customHeight="1" x14ac:dyDescent="0.25">
      <c r="A293" s="2" t="s">
        <v>40</v>
      </c>
      <c r="B293" s="5" t="s">
        <v>196</v>
      </c>
      <c r="C293" s="18"/>
      <c r="D293" s="18" t="s">
        <v>30</v>
      </c>
      <c r="E293" s="2" t="s">
        <v>1273</v>
      </c>
      <c r="F293" s="1">
        <v>92</v>
      </c>
      <c r="G293" s="3">
        <v>46159</v>
      </c>
      <c r="H293" s="3"/>
      <c r="I293" s="3">
        <v>46162</v>
      </c>
      <c r="J293" s="1">
        <v>3</v>
      </c>
      <c r="K293" s="1">
        <v>0</v>
      </c>
      <c r="L293" s="1">
        <v>72</v>
      </c>
      <c r="M293" s="1">
        <v>800</v>
      </c>
      <c r="N293" s="1">
        <v>0</v>
      </c>
      <c r="O293" s="1">
        <v>0</v>
      </c>
      <c r="P293" s="1">
        <v>0</v>
      </c>
      <c r="Q293" s="2" t="s">
        <v>53</v>
      </c>
      <c r="R293" s="6" t="s">
        <v>1274</v>
      </c>
      <c r="S293" s="2" t="s">
        <v>25</v>
      </c>
      <c r="T293" s="3"/>
      <c r="V293" s="3"/>
      <c r="W293" s="2" t="s">
        <v>1256</v>
      </c>
    </row>
    <row r="294" spans="1:23" ht="41.25" customHeight="1" x14ac:dyDescent="0.25">
      <c r="A294" s="2" t="s">
        <v>40</v>
      </c>
      <c r="B294" s="5" t="s">
        <v>196</v>
      </c>
      <c r="C294" s="18"/>
      <c r="D294" s="18"/>
      <c r="E294" s="2" t="s">
        <v>221</v>
      </c>
      <c r="G294" s="3">
        <v>46162</v>
      </c>
      <c r="H294" s="3"/>
      <c r="I294" s="3">
        <v>46170</v>
      </c>
      <c r="J294" s="1">
        <v>8</v>
      </c>
      <c r="K294" s="1">
        <v>0</v>
      </c>
      <c r="L294" s="1">
        <v>192</v>
      </c>
      <c r="M294" s="1">
        <v>0</v>
      </c>
      <c r="N294" s="1">
        <v>0</v>
      </c>
      <c r="O294" s="1">
        <v>0</v>
      </c>
      <c r="Q294" s="2" t="s">
        <v>51</v>
      </c>
      <c r="R294" s="6" t="s">
        <v>43</v>
      </c>
      <c r="S294" s="2" t="s">
        <v>25</v>
      </c>
      <c r="T294" s="3"/>
      <c r="V294" s="3"/>
      <c r="W294" s="2" t="s">
        <v>95</v>
      </c>
    </row>
    <row r="295" spans="1:23" ht="41.25" customHeight="1" x14ac:dyDescent="0.25">
      <c r="A295" s="2" t="s">
        <v>40</v>
      </c>
      <c r="B295" s="5" t="s">
        <v>196</v>
      </c>
      <c r="C295" s="18"/>
      <c r="D295" s="18"/>
      <c r="E295" s="2" t="s">
        <v>238</v>
      </c>
      <c r="F295" s="1">
        <v>36</v>
      </c>
      <c r="G295" s="3">
        <v>46170</v>
      </c>
      <c r="H295" s="3"/>
      <c r="I295" s="3">
        <v>46180</v>
      </c>
      <c r="J295" s="1">
        <v>10</v>
      </c>
      <c r="K295" s="1">
        <v>0</v>
      </c>
      <c r="L295" s="1">
        <v>240</v>
      </c>
      <c r="M295" s="1">
        <v>1100</v>
      </c>
      <c r="N295" s="1">
        <v>90</v>
      </c>
      <c r="O295" s="1">
        <v>91</v>
      </c>
      <c r="P295" s="1">
        <v>150</v>
      </c>
      <c r="Q295" s="2" t="s">
        <v>62</v>
      </c>
      <c r="R295" s="6" t="s">
        <v>288</v>
      </c>
      <c r="S295" s="2" t="s">
        <v>25</v>
      </c>
      <c r="T295" s="3">
        <v>46168</v>
      </c>
      <c r="U295" s="1">
        <v>1</v>
      </c>
      <c r="V295" s="3">
        <v>46172</v>
      </c>
      <c r="W295" s="2" t="s">
        <v>35</v>
      </c>
    </row>
    <row r="296" spans="1:23" ht="41.25" customHeight="1" x14ac:dyDescent="0.25">
      <c r="A296" s="2" t="s">
        <v>40</v>
      </c>
      <c r="B296" s="5" t="s">
        <v>196</v>
      </c>
      <c r="C296" s="18"/>
      <c r="D296" s="18"/>
      <c r="E296" s="2" t="s">
        <v>221</v>
      </c>
      <c r="G296" s="3">
        <v>46180</v>
      </c>
      <c r="H296" s="3"/>
      <c r="I296" s="3">
        <v>46188</v>
      </c>
      <c r="J296" s="1">
        <v>8</v>
      </c>
      <c r="K296" s="1">
        <v>0</v>
      </c>
      <c r="L296" s="1">
        <v>192</v>
      </c>
      <c r="M296" s="1">
        <v>0</v>
      </c>
      <c r="N296" s="1">
        <v>0</v>
      </c>
      <c r="O296" s="1">
        <v>0</v>
      </c>
      <c r="Q296" s="2" t="s">
        <v>51</v>
      </c>
      <c r="R296" s="6" t="s">
        <v>26</v>
      </c>
      <c r="S296" s="2" t="s">
        <v>25</v>
      </c>
      <c r="T296" s="3"/>
      <c r="V296" s="3"/>
      <c r="W296" s="2" t="s">
        <v>95</v>
      </c>
    </row>
    <row r="297" spans="1:23" ht="41.25" customHeight="1" x14ac:dyDescent="0.25">
      <c r="A297" s="2" t="s">
        <v>40</v>
      </c>
      <c r="B297" s="5" t="s">
        <v>196</v>
      </c>
      <c r="C297" s="18"/>
      <c r="D297" s="18"/>
      <c r="E297" s="2" t="s">
        <v>221</v>
      </c>
      <c r="G297" s="3">
        <v>46188</v>
      </c>
      <c r="H297" s="3"/>
      <c r="I297" s="3">
        <v>46196</v>
      </c>
      <c r="J297" s="1">
        <v>8</v>
      </c>
      <c r="K297" s="1">
        <v>0</v>
      </c>
      <c r="L297" s="1">
        <v>192</v>
      </c>
      <c r="M297" s="1">
        <v>0</v>
      </c>
      <c r="N297" s="1">
        <v>0</v>
      </c>
      <c r="O297" s="1">
        <v>0</v>
      </c>
      <c r="Q297" s="2" t="s">
        <v>51</v>
      </c>
      <c r="R297" s="6" t="s">
        <v>26</v>
      </c>
      <c r="S297" s="2" t="s">
        <v>25</v>
      </c>
      <c r="T297" s="3"/>
      <c r="V297" s="3"/>
      <c r="W297" s="2" t="s">
        <v>95</v>
      </c>
    </row>
    <row r="298" spans="1:23" ht="41.25" customHeight="1" x14ac:dyDescent="0.25">
      <c r="A298" s="2" t="s">
        <v>40</v>
      </c>
      <c r="B298" s="5" t="s">
        <v>196</v>
      </c>
      <c r="C298" s="18"/>
      <c r="D298" s="18"/>
      <c r="E298" s="2" t="s">
        <v>221</v>
      </c>
      <c r="G298" s="3">
        <v>46196</v>
      </c>
      <c r="H298" s="3"/>
      <c r="I298" s="3">
        <v>46204</v>
      </c>
      <c r="J298" s="1">
        <v>8</v>
      </c>
      <c r="K298" s="1">
        <v>0</v>
      </c>
      <c r="L298" s="1">
        <v>192</v>
      </c>
      <c r="M298" s="1">
        <v>0</v>
      </c>
      <c r="N298" s="1">
        <v>0</v>
      </c>
      <c r="O298" s="1">
        <v>0</v>
      </c>
      <c r="Q298" s="2" t="s">
        <v>51</v>
      </c>
      <c r="R298" s="6" t="s">
        <v>26</v>
      </c>
      <c r="S298" s="2" t="s">
        <v>25</v>
      </c>
      <c r="T298" s="3"/>
      <c r="V298" s="3"/>
      <c r="W298" s="2" t="s">
        <v>95</v>
      </c>
    </row>
    <row r="299" spans="1:23" ht="41.25" customHeight="1" x14ac:dyDescent="0.25">
      <c r="A299" s="2" t="s">
        <v>40</v>
      </c>
      <c r="B299" s="5" t="s">
        <v>196</v>
      </c>
      <c r="C299" s="18"/>
      <c r="D299" s="18"/>
      <c r="E299" s="2" t="s">
        <v>1437</v>
      </c>
      <c r="F299" s="1">
        <v>88</v>
      </c>
      <c r="G299" s="3">
        <v>46204</v>
      </c>
      <c r="H299" s="3"/>
      <c r="I299" s="3">
        <v>46211</v>
      </c>
      <c r="J299" s="1">
        <v>7</v>
      </c>
      <c r="K299" s="1">
        <v>0</v>
      </c>
      <c r="L299" s="1">
        <v>168</v>
      </c>
      <c r="M299" s="1">
        <v>841</v>
      </c>
      <c r="N299" s="1">
        <v>96</v>
      </c>
      <c r="O299" s="1">
        <v>31</v>
      </c>
      <c r="P299" s="1">
        <v>224</v>
      </c>
      <c r="Q299" s="2" t="s">
        <v>58</v>
      </c>
      <c r="R299" s="6" t="s">
        <v>34</v>
      </c>
      <c r="S299" s="2" t="s">
        <v>25</v>
      </c>
      <c r="T299" s="3"/>
      <c r="V299" s="3"/>
      <c r="W299" s="2" t="s">
        <v>35</v>
      </c>
    </row>
    <row r="300" spans="1:23" ht="41.25" customHeight="1" x14ac:dyDescent="0.25">
      <c r="A300" s="2" t="s">
        <v>40</v>
      </c>
      <c r="B300" s="5" t="s">
        <v>301</v>
      </c>
      <c r="C300" s="18" t="s">
        <v>23</v>
      </c>
      <c r="D300" s="18" t="s">
        <v>41</v>
      </c>
      <c r="E300" s="2" t="s">
        <v>1214</v>
      </c>
      <c r="F300" s="1">
        <v>96</v>
      </c>
      <c r="G300" s="3">
        <v>46127</v>
      </c>
      <c r="H300" s="3"/>
      <c r="I300" s="3">
        <v>46136</v>
      </c>
      <c r="J300" s="1">
        <v>9</v>
      </c>
      <c r="K300" s="1">
        <v>0</v>
      </c>
      <c r="L300" s="1">
        <v>216</v>
      </c>
      <c r="M300" s="1">
        <v>60</v>
      </c>
      <c r="N300" s="1">
        <v>90</v>
      </c>
      <c r="O300" s="1">
        <v>5</v>
      </c>
      <c r="P300" s="1">
        <v>5635</v>
      </c>
      <c r="Q300" s="2" t="s">
        <v>51</v>
      </c>
      <c r="R300" s="6" t="s">
        <v>43</v>
      </c>
      <c r="S300" s="2" t="s">
        <v>1359</v>
      </c>
      <c r="T300" s="3"/>
      <c r="V300" s="3"/>
      <c r="W300" s="2" t="s">
        <v>29</v>
      </c>
    </row>
    <row r="301" spans="1:23" ht="41.25" customHeight="1" x14ac:dyDescent="0.25">
      <c r="A301" s="2" t="s">
        <v>40</v>
      </c>
      <c r="B301" s="5" t="s">
        <v>301</v>
      </c>
      <c r="C301" s="18" t="s">
        <v>23</v>
      </c>
      <c r="D301" s="18" t="s">
        <v>116</v>
      </c>
      <c r="E301" s="2" t="s">
        <v>753</v>
      </c>
      <c r="F301" s="1">
        <v>96</v>
      </c>
      <c r="G301" s="3">
        <v>46136</v>
      </c>
      <c r="H301" s="3"/>
      <c r="I301" s="3">
        <v>46144</v>
      </c>
      <c r="J301" s="1">
        <v>8</v>
      </c>
      <c r="K301" s="1">
        <v>0</v>
      </c>
      <c r="L301" s="1">
        <v>192</v>
      </c>
      <c r="M301" s="1">
        <v>63</v>
      </c>
      <c r="N301" s="1">
        <v>91</v>
      </c>
      <c r="O301" s="1">
        <v>5</v>
      </c>
      <c r="P301" s="1">
        <v>585</v>
      </c>
      <c r="Q301" s="2" t="s">
        <v>51</v>
      </c>
      <c r="R301" s="6" t="s">
        <v>43</v>
      </c>
      <c r="S301" s="2" t="s">
        <v>1360</v>
      </c>
      <c r="T301" s="3"/>
      <c r="V301" s="3"/>
      <c r="W301" s="2" t="s">
        <v>29</v>
      </c>
    </row>
    <row r="302" spans="1:23" ht="41.25" customHeight="1" x14ac:dyDescent="0.25">
      <c r="A302" s="2" t="s">
        <v>40</v>
      </c>
      <c r="B302" s="5" t="s">
        <v>301</v>
      </c>
      <c r="C302" s="18"/>
      <c r="D302" s="18" t="s">
        <v>1543</v>
      </c>
      <c r="E302" s="2" t="s">
        <v>1467</v>
      </c>
      <c r="F302" s="1">
        <v>96</v>
      </c>
      <c r="G302" s="3">
        <v>46144</v>
      </c>
      <c r="H302" s="3"/>
      <c r="I302" s="3">
        <v>46150</v>
      </c>
      <c r="J302" s="1">
        <v>6</v>
      </c>
      <c r="K302" s="1">
        <v>0</v>
      </c>
      <c r="L302" s="1">
        <v>144</v>
      </c>
      <c r="M302" s="1">
        <v>63</v>
      </c>
      <c r="N302" s="1">
        <v>55</v>
      </c>
      <c r="O302" s="1">
        <v>28</v>
      </c>
      <c r="P302" s="1">
        <v>220</v>
      </c>
      <c r="Q302" s="2" t="s">
        <v>51</v>
      </c>
      <c r="R302" s="6" t="s">
        <v>291</v>
      </c>
      <c r="S302" s="2" t="s">
        <v>25</v>
      </c>
      <c r="T302" s="3"/>
      <c r="V302" s="3"/>
      <c r="W302" s="2" t="s">
        <v>25</v>
      </c>
    </row>
    <row r="303" spans="1:23" ht="41.25" customHeight="1" x14ac:dyDescent="0.25">
      <c r="A303" s="2" t="s">
        <v>40</v>
      </c>
      <c r="B303" s="5" t="s">
        <v>301</v>
      </c>
      <c r="C303" s="18"/>
      <c r="D303" s="18"/>
      <c r="E303" s="2" t="s">
        <v>1195</v>
      </c>
      <c r="F303" s="1">
        <v>30</v>
      </c>
      <c r="G303" s="3">
        <v>46150</v>
      </c>
      <c r="H303" s="3"/>
      <c r="I303" s="3">
        <v>46158</v>
      </c>
      <c r="J303" s="1">
        <v>8</v>
      </c>
      <c r="K303" s="1">
        <v>0</v>
      </c>
      <c r="L303" s="1">
        <v>192</v>
      </c>
      <c r="M303" s="1">
        <v>154</v>
      </c>
      <c r="N303" s="1">
        <v>0</v>
      </c>
      <c r="O303" s="1">
        <v>0</v>
      </c>
      <c r="P303" s="1">
        <v>0</v>
      </c>
      <c r="Q303" s="2" t="s">
        <v>227</v>
      </c>
      <c r="R303" s="6" t="s">
        <v>1196</v>
      </c>
      <c r="S303" s="2" t="s">
        <v>25</v>
      </c>
      <c r="T303" s="3"/>
      <c r="V303" s="3"/>
      <c r="W303" s="2" t="s">
        <v>1256</v>
      </c>
    </row>
    <row r="304" spans="1:23" ht="41.25" customHeight="1" x14ac:dyDescent="0.25">
      <c r="A304" s="2" t="s">
        <v>40</v>
      </c>
      <c r="B304" s="5" t="s">
        <v>301</v>
      </c>
      <c r="C304" s="18"/>
      <c r="D304" s="18" t="s">
        <v>30</v>
      </c>
      <c r="E304" s="2" t="s">
        <v>256</v>
      </c>
      <c r="F304" s="1">
        <v>59</v>
      </c>
      <c r="G304" s="3">
        <v>46158</v>
      </c>
      <c r="H304" s="3"/>
      <c r="I304" s="3">
        <v>46162</v>
      </c>
      <c r="J304" s="1">
        <v>4</v>
      </c>
      <c r="K304" s="1">
        <v>0</v>
      </c>
      <c r="L304" s="1">
        <v>96</v>
      </c>
      <c r="M304" s="1">
        <v>200</v>
      </c>
      <c r="N304" s="1">
        <v>0</v>
      </c>
      <c r="O304" s="1">
        <v>0</v>
      </c>
      <c r="P304" s="1">
        <v>0</v>
      </c>
      <c r="Q304" s="2" t="s">
        <v>53</v>
      </c>
      <c r="R304" s="6" t="s">
        <v>34</v>
      </c>
      <c r="S304" s="2" t="s">
        <v>25</v>
      </c>
      <c r="T304" s="3"/>
      <c r="V304" s="3"/>
      <c r="W304" s="2" t="s">
        <v>1256</v>
      </c>
    </row>
    <row r="305" spans="1:23" ht="41.25" customHeight="1" x14ac:dyDescent="0.25">
      <c r="A305" s="2" t="s">
        <v>40</v>
      </c>
      <c r="B305" s="5" t="s">
        <v>301</v>
      </c>
      <c r="C305" s="18"/>
      <c r="D305" s="18"/>
      <c r="E305" s="2" t="s">
        <v>221</v>
      </c>
      <c r="G305" s="3">
        <v>46162</v>
      </c>
      <c r="H305" s="3"/>
      <c r="I305" s="3">
        <v>46170</v>
      </c>
      <c r="J305" s="1">
        <v>8</v>
      </c>
      <c r="K305" s="1">
        <v>0</v>
      </c>
      <c r="L305" s="1">
        <v>192</v>
      </c>
      <c r="M305" s="1">
        <v>0</v>
      </c>
      <c r="N305" s="1">
        <v>0</v>
      </c>
      <c r="O305" s="1">
        <v>0</v>
      </c>
      <c r="Q305" s="2" t="s">
        <v>51</v>
      </c>
      <c r="R305" s="6" t="s">
        <v>26</v>
      </c>
      <c r="S305" s="2" t="s">
        <v>25</v>
      </c>
      <c r="T305" s="3"/>
      <c r="V305" s="3"/>
      <c r="W305" s="2" t="s">
        <v>95</v>
      </c>
    </row>
    <row r="306" spans="1:23" ht="41.25" customHeight="1" x14ac:dyDescent="0.25">
      <c r="A306" s="2" t="s">
        <v>40</v>
      </c>
      <c r="B306" s="5" t="s">
        <v>301</v>
      </c>
      <c r="C306" s="18"/>
      <c r="D306" s="18" t="s">
        <v>229</v>
      </c>
      <c r="E306" s="2" t="s">
        <v>197</v>
      </c>
      <c r="F306" s="1">
        <v>201</v>
      </c>
      <c r="G306" s="3">
        <v>46170</v>
      </c>
      <c r="H306" s="3"/>
      <c r="I306" s="3">
        <v>46180</v>
      </c>
      <c r="J306" s="1">
        <v>10</v>
      </c>
      <c r="K306" s="1">
        <v>0</v>
      </c>
      <c r="L306" s="1">
        <v>240</v>
      </c>
      <c r="M306" s="1">
        <v>0</v>
      </c>
      <c r="N306" s="1">
        <v>0</v>
      </c>
      <c r="O306" s="1">
        <v>0</v>
      </c>
      <c r="P306" s="1">
        <v>0</v>
      </c>
      <c r="Q306" s="2" t="s">
        <v>192</v>
      </c>
      <c r="R306" s="6" t="s">
        <v>198</v>
      </c>
      <c r="S306" s="2" t="s">
        <v>25</v>
      </c>
      <c r="T306" s="3"/>
      <c r="V306" s="3"/>
      <c r="W306" s="2" t="s">
        <v>1256</v>
      </c>
    </row>
    <row r="307" spans="1:23" ht="41.25" customHeight="1" x14ac:dyDescent="0.25">
      <c r="A307" s="2" t="s">
        <v>40</v>
      </c>
      <c r="B307" s="5" t="s">
        <v>301</v>
      </c>
      <c r="C307" s="18"/>
      <c r="D307" s="18" t="s">
        <v>229</v>
      </c>
      <c r="E307" s="2" t="s">
        <v>205</v>
      </c>
      <c r="F307" s="1">
        <v>208</v>
      </c>
      <c r="G307" s="3">
        <v>46180</v>
      </c>
      <c r="H307" s="3"/>
      <c r="I307" s="3">
        <v>46190</v>
      </c>
      <c r="J307" s="1">
        <v>10</v>
      </c>
      <c r="K307" s="1">
        <v>0</v>
      </c>
      <c r="L307" s="1">
        <v>240</v>
      </c>
      <c r="M307" s="1">
        <v>0</v>
      </c>
      <c r="N307" s="1">
        <v>0</v>
      </c>
      <c r="O307" s="1">
        <v>0</v>
      </c>
      <c r="P307" s="1">
        <v>0</v>
      </c>
      <c r="Q307" s="2" t="s">
        <v>192</v>
      </c>
      <c r="R307" s="6" t="s">
        <v>206</v>
      </c>
      <c r="S307" s="2" t="s">
        <v>25</v>
      </c>
      <c r="T307" s="3"/>
      <c r="V307" s="3"/>
      <c r="W307" s="2" t="s">
        <v>1256</v>
      </c>
    </row>
    <row r="308" spans="1:23" ht="41.25" customHeight="1" x14ac:dyDescent="0.25">
      <c r="A308" s="2" t="s">
        <v>40</v>
      </c>
      <c r="B308" s="5" t="s">
        <v>301</v>
      </c>
      <c r="C308" s="18"/>
      <c r="D308" s="18" t="s">
        <v>229</v>
      </c>
      <c r="E308" s="2" t="s">
        <v>1173</v>
      </c>
      <c r="F308" s="1">
        <v>233</v>
      </c>
      <c r="G308" s="3">
        <v>46190</v>
      </c>
      <c r="H308" s="3"/>
      <c r="I308" s="3">
        <v>46200</v>
      </c>
      <c r="J308" s="1">
        <v>10</v>
      </c>
      <c r="K308" s="1">
        <v>0</v>
      </c>
      <c r="L308" s="1">
        <v>240</v>
      </c>
      <c r="M308" s="1">
        <v>0</v>
      </c>
      <c r="N308" s="1">
        <v>0</v>
      </c>
      <c r="O308" s="1">
        <v>0</v>
      </c>
      <c r="P308" s="1">
        <v>0</v>
      </c>
      <c r="Q308" s="2" t="s">
        <v>192</v>
      </c>
      <c r="R308" s="6" t="s">
        <v>1174</v>
      </c>
      <c r="S308" s="2" t="s">
        <v>25</v>
      </c>
      <c r="T308" s="3"/>
      <c r="V308" s="3"/>
      <c r="W308" s="2" t="s">
        <v>1258</v>
      </c>
    </row>
    <row r="309" spans="1:23" ht="41.25" customHeight="1" x14ac:dyDescent="0.25">
      <c r="A309" s="2" t="s">
        <v>40</v>
      </c>
      <c r="B309" s="5" t="s">
        <v>301</v>
      </c>
      <c r="C309" s="18"/>
      <c r="D309" s="18"/>
      <c r="E309" s="2" t="s">
        <v>221</v>
      </c>
      <c r="G309" s="3">
        <v>46200</v>
      </c>
      <c r="H309" s="3"/>
      <c r="I309" s="3">
        <v>46208</v>
      </c>
      <c r="J309" s="1">
        <v>8</v>
      </c>
      <c r="K309" s="1">
        <v>0</v>
      </c>
      <c r="L309" s="1">
        <v>192</v>
      </c>
      <c r="M309" s="1">
        <v>0</v>
      </c>
      <c r="N309" s="1">
        <v>0</v>
      </c>
      <c r="O309" s="1">
        <v>0</v>
      </c>
      <c r="Q309" s="2" t="s">
        <v>51</v>
      </c>
      <c r="R309" s="6" t="s">
        <v>43</v>
      </c>
      <c r="S309" s="2" t="s">
        <v>25</v>
      </c>
      <c r="T309" s="3"/>
      <c r="V309" s="3"/>
      <c r="W309" s="2" t="s">
        <v>95</v>
      </c>
    </row>
    <row r="310" spans="1:23" ht="41.25" customHeight="1" x14ac:dyDescent="0.25">
      <c r="A310" s="2" t="s">
        <v>40</v>
      </c>
      <c r="B310" s="5" t="s">
        <v>301</v>
      </c>
      <c r="C310" s="18"/>
      <c r="D310" s="18"/>
      <c r="E310" s="2" t="s">
        <v>1411</v>
      </c>
      <c r="F310" s="1">
        <v>88</v>
      </c>
      <c r="G310" s="3">
        <v>46208</v>
      </c>
      <c r="H310" s="3"/>
      <c r="I310" s="3">
        <v>46216</v>
      </c>
      <c r="J310" s="1">
        <v>8</v>
      </c>
      <c r="K310" s="1">
        <v>0</v>
      </c>
      <c r="L310" s="1">
        <v>192</v>
      </c>
      <c r="M310" s="1">
        <v>360</v>
      </c>
      <c r="N310" s="1">
        <v>96</v>
      </c>
      <c r="O310" s="1">
        <v>12</v>
      </c>
      <c r="P310" s="1">
        <v>850</v>
      </c>
      <c r="Q310" s="2" t="s">
        <v>157</v>
      </c>
      <c r="R310" s="6" t="s">
        <v>1412</v>
      </c>
      <c r="S310" s="2" t="s">
        <v>25</v>
      </c>
      <c r="T310" s="3"/>
      <c r="V310" s="3"/>
      <c r="W310" s="2" t="s">
        <v>104</v>
      </c>
    </row>
    <row r="311" spans="1:23" ht="41.25" customHeight="1" x14ac:dyDescent="0.25">
      <c r="A311" s="2" t="s">
        <v>40</v>
      </c>
      <c r="B311" s="5" t="s">
        <v>301</v>
      </c>
      <c r="C311" s="18" t="s">
        <v>46</v>
      </c>
      <c r="D311" s="18"/>
      <c r="E311" s="2" t="s">
        <v>141</v>
      </c>
      <c r="F311" s="1">
        <v>97</v>
      </c>
      <c r="G311" s="3">
        <v>46216</v>
      </c>
      <c r="H311" s="3"/>
      <c r="I311" s="3">
        <v>46230</v>
      </c>
      <c r="J311" s="1">
        <v>14</v>
      </c>
      <c r="K311" s="1">
        <v>0</v>
      </c>
      <c r="L311" s="1">
        <v>336</v>
      </c>
      <c r="M311" s="1">
        <v>75</v>
      </c>
      <c r="N311" s="1">
        <v>90</v>
      </c>
      <c r="O311" s="1">
        <v>6</v>
      </c>
      <c r="P311" s="1">
        <v>195</v>
      </c>
      <c r="Q311" s="2" t="s">
        <v>62</v>
      </c>
      <c r="R311" s="6" t="s">
        <v>37</v>
      </c>
      <c r="S311" s="2" t="s">
        <v>1321</v>
      </c>
      <c r="T311" s="3">
        <v>46237</v>
      </c>
      <c r="U311" s="1">
        <v>1</v>
      </c>
      <c r="V311" s="3">
        <v>46241</v>
      </c>
      <c r="W311" s="2" t="s">
        <v>25</v>
      </c>
    </row>
    <row r="312" spans="1:23" ht="41.25" customHeight="1" x14ac:dyDescent="0.25">
      <c r="A312" s="2" t="s">
        <v>40</v>
      </c>
      <c r="B312" s="5" t="s">
        <v>1204</v>
      </c>
      <c r="C312" s="18"/>
      <c r="D312" s="18" t="s">
        <v>41</v>
      </c>
      <c r="E312" s="2" t="s">
        <v>1152</v>
      </c>
      <c r="F312" s="1">
        <v>69</v>
      </c>
      <c r="G312" s="3">
        <v>46112</v>
      </c>
      <c r="H312" s="3"/>
      <c r="I312" s="3">
        <v>46142</v>
      </c>
      <c r="J312" s="1">
        <v>30</v>
      </c>
      <c r="K312" s="1">
        <v>0</v>
      </c>
      <c r="L312" s="1">
        <v>720</v>
      </c>
      <c r="M312" s="1">
        <v>954</v>
      </c>
      <c r="N312" s="1">
        <v>98</v>
      </c>
      <c r="O312" s="1">
        <v>13</v>
      </c>
      <c r="P312" s="1">
        <v>600</v>
      </c>
      <c r="Q312" s="2" t="s">
        <v>92</v>
      </c>
      <c r="R312" s="6" t="s">
        <v>1544</v>
      </c>
      <c r="S312" s="2" t="s">
        <v>25</v>
      </c>
      <c r="T312" s="3"/>
      <c r="V312" s="3"/>
      <c r="W312" s="2" t="s">
        <v>104</v>
      </c>
    </row>
    <row r="313" spans="1:23" ht="41.25" customHeight="1" x14ac:dyDescent="0.25">
      <c r="A313" s="2" t="s">
        <v>40</v>
      </c>
      <c r="B313" s="5" t="s">
        <v>1204</v>
      </c>
      <c r="C313" s="18" t="s">
        <v>23</v>
      </c>
      <c r="D313" s="18"/>
      <c r="E313" s="2" t="s">
        <v>1438</v>
      </c>
      <c r="F313" s="1">
        <v>90</v>
      </c>
      <c r="G313" s="3">
        <v>46142</v>
      </c>
      <c r="H313" s="3"/>
      <c r="I313" s="3">
        <v>46152</v>
      </c>
      <c r="J313" s="1">
        <v>10</v>
      </c>
      <c r="K313" s="1">
        <v>0</v>
      </c>
      <c r="L313" s="1">
        <v>240</v>
      </c>
      <c r="M313" s="1">
        <v>719</v>
      </c>
      <c r="O313" s="1">
        <v>0</v>
      </c>
      <c r="P313" s="1">
        <v>288</v>
      </c>
      <c r="Q313" s="2" t="s">
        <v>227</v>
      </c>
      <c r="R313" s="6" t="s">
        <v>1414</v>
      </c>
      <c r="S313" s="2" t="s">
        <v>25</v>
      </c>
      <c r="T313" s="3"/>
      <c r="V313" s="3"/>
      <c r="W313" s="2" t="s">
        <v>95</v>
      </c>
    </row>
    <row r="314" spans="1:23" ht="41.25" customHeight="1" x14ac:dyDescent="0.25">
      <c r="A314" s="2" t="s">
        <v>40</v>
      </c>
      <c r="B314" s="5" t="s">
        <v>1204</v>
      </c>
      <c r="C314" s="18" t="s">
        <v>46</v>
      </c>
      <c r="D314" s="18"/>
      <c r="E314" s="2" t="s">
        <v>1439</v>
      </c>
      <c r="F314" s="1">
        <v>82</v>
      </c>
      <c r="G314" s="3">
        <v>46152</v>
      </c>
      <c r="H314" s="3"/>
      <c r="I314" s="3">
        <v>46162</v>
      </c>
      <c r="J314" s="1">
        <v>10</v>
      </c>
      <c r="K314" s="1">
        <v>0</v>
      </c>
      <c r="L314" s="1">
        <v>240</v>
      </c>
      <c r="M314" s="1">
        <v>386</v>
      </c>
      <c r="O314" s="1">
        <v>0</v>
      </c>
      <c r="P314" s="1">
        <v>2796</v>
      </c>
      <c r="Q314" s="2" t="s">
        <v>227</v>
      </c>
      <c r="R314" s="6" t="s">
        <v>1414</v>
      </c>
      <c r="S314" s="2" t="s">
        <v>25</v>
      </c>
      <c r="T314" s="3"/>
      <c r="V314" s="3"/>
      <c r="W314" s="2" t="s">
        <v>95</v>
      </c>
    </row>
    <row r="315" spans="1:23" ht="41.25" customHeight="1" x14ac:dyDescent="0.25">
      <c r="A315" s="2" t="s">
        <v>40</v>
      </c>
      <c r="B315" s="5" t="s">
        <v>1204</v>
      </c>
      <c r="C315" s="18"/>
      <c r="D315" s="18"/>
      <c r="E315" s="2" t="s">
        <v>1149</v>
      </c>
      <c r="F315" s="1">
        <v>220</v>
      </c>
      <c r="G315" s="3">
        <v>46162</v>
      </c>
      <c r="H315" s="3"/>
      <c r="I315" s="3">
        <v>46172</v>
      </c>
      <c r="J315" s="1">
        <v>10</v>
      </c>
      <c r="K315" s="1">
        <v>0</v>
      </c>
      <c r="L315" s="1">
        <v>240</v>
      </c>
      <c r="M315" s="1">
        <v>0</v>
      </c>
      <c r="N315" s="1">
        <v>0</v>
      </c>
      <c r="O315" s="1">
        <v>0</v>
      </c>
      <c r="P315" s="1">
        <v>0</v>
      </c>
      <c r="Q315" s="2" t="s">
        <v>192</v>
      </c>
      <c r="R315" s="6" t="s">
        <v>251</v>
      </c>
      <c r="S315" s="2" t="s">
        <v>25</v>
      </c>
      <c r="T315" s="3"/>
      <c r="V315" s="3"/>
      <c r="W315" s="2" t="s">
        <v>1256</v>
      </c>
    </row>
    <row r="316" spans="1:23" ht="41.25" customHeight="1" x14ac:dyDescent="0.25">
      <c r="A316" s="2" t="s">
        <v>40</v>
      </c>
      <c r="B316" s="5" t="s">
        <v>1204</v>
      </c>
      <c r="C316" s="18"/>
      <c r="D316" s="18"/>
      <c r="E316" s="2" t="s">
        <v>309</v>
      </c>
      <c r="F316" s="1">
        <v>210</v>
      </c>
      <c r="G316" s="3">
        <v>46172</v>
      </c>
      <c r="H316" s="3"/>
      <c r="I316" s="3">
        <v>46184</v>
      </c>
      <c r="J316" s="1">
        <v>12</v>
      </c>
      <c r="K316" s="1">
        <v>0</v>
      </c>
      <c r="L316" s="1">
        <v>288</v>
      </c>
      <c r="M316" s="1">
        <v>1037000</v>
      </c>
      <c r="N316" s="1">
        <v>0</v>
      </c>
      <c r="O316" s="1">
        <v>62</v>
      </c>
      <c r="P316" s="1">
        <v>0</v>
      </c>
      <c r="Q316" s="2" t="s">
        <v>192</v>
      </c>
      <c r="R316" s="6" t="s">
        <v>310</v>
      </c>
      <c r="S316" s="2" t="s">
        <v>25</v>
      </c>
      <c r="T316" s="3"/>
      <c r="V316" s="3"/>
      <c r="W316" s="2" t="s">
        <v>1258</v>
      </c>
    </row>
    <row r="317" spans="1:23" ht="41.25" customHeight="1" x14ac:dyDescent="0.25">
      <c r="A317" s="2" t="s">
        <v>40</v>
      </c>
      <c r="B317" s="5" t="s">
        <v>1204</v>
      </c>
      <c r="C317" s="18"/>
      <c r="D317" s="18"/>
      <c r="E317" s="2" t="s">
        <v>1175</v>
      </c>
      <c r="F317" s="1">
        <v>210</v>
      </c>
      <c r="G317" s="3">
        <v>46184</v>
      </c>
      <c r="H317" s="3"/>
      <c r="I317" s="3">
        <v>46192</v>
      </c>
      <c r="J317" s="1">
        <v>8</v>
      </c>
      <c r="K317" s="1">
        <v>0</v>
      </c>
      <c r="L317" s="1">
        <v>192</v>
      </c>
      <c r="M317" s="1">
        <v>0</v>
      </c>
      <c r="N317" s="1">
        <v>0</v>
      </c>
      <c r="O317" s="1">
        <v>0</v>
      </c>
      <c r="P317" s="1">
        <v>0</v>
      </c>
      <c r="Q317" s="2" t="s">
        <v>192</v>
      </c>
      <c r="R317" s="6" t="s">
        <v>1176</v>
      </c>
      <c r="S317" s="2" t="s">
        <v>25</v>
      </c>
      <c r="T317" s="3"/>
      <c r="V317" s="3"/>
      <c r="W317" s="2" t="s">
        <v>1256</v>
      </c>
    </row>
    <row r="318" spans="1:23" ht="41.25" customHeight="1" x14ac:dyDescent="0.25">
      <c r="A318" s="2" t="s">
        <v>40</v>
      </c>
      <c r="B318" s="5" t="s">
        <v>1204</v>
      </c>
      <c r="C318" s="18"/>
      <c r="D318" s="18"/>
      <c r="E318" s="2" t="s">
        <v>1243</v>
      </c>
      <c r="G318" s="3">
        <v>46192</v>
      </c>
      <c r="H318" s="3"/>
      <c r="I318" s="3">
        <v>46202</v>
      </c>
      <c r="J318" s="1">
        <v>10</v>
      </c>
      <c r="K318" s="1">
        <v>0</v>
      </c>
      <c r="L318" s="1">
        <v>240</v>
      </c>
      <c r="M318" s="1">
        <v>926000</v>
      </c>
      <c r="N318" s="1">
        <v>0</v>
      </c>
      <c r="O318" s="1">
        <v>0</v>
      </c>
      <c r="P318" s="1">
        <v>0</v>
      </c>
      <c r="Q318" s="2" t="s">
        <v>192</v>
      </c>
      <c r="R318" s="6" t="s">
        <v>1244</v>
      </c>
      <c r="S318" s="2" t="s">
        <v>25</v>
      </c>
      <c r="T318" s="3"/>
      <c r="V318" s="3"/>
      <c r="W318" s="2" t="s">
        <v>1256</v>
      </c>
    </row>
    <row r="319" spans="1:23" ht="41.25" customHeight="1" x14ac:dyDescent="0.25">
      <c r="A319" s="2" t="s">
        <v>40</v>
      </c>
      <c r="B319" s="5" t="s">
        <v>1204</v>
      </c>
      <c r="C319" s="18"/>
      <c r="D319" s="18"/>
      <c r="E319" s="2" t="s">
        <v>1245</v>
      </c>
      <c r="F319" s="1">
        <v>208</v>
      </c>
      <c r="G319" s="3">
        <v>46202</v>
      </c>
      <c r="H319" s="3"/>
      <c r="I319" s="3">
        <v>46212</v>
      </c>
      <c r="J319" s="1">
        <v>10</v>
      </c>
      <c r="K319" s="1">
        <v>0</v>
      </c>
      <c r="L319" s="1">
        <v>240</v>
      </c>
      <c r="M319" s="1">
        <v>0</v>
      </c>
      <c r="N319" s="1">
        <v>0</v>
      </c>
      <c r="O319" s="1">
        <v>0</v>
      </c>
      <c r="P319" s="1">
        <v>0</v>
      </c>
      <c r="Q319" s="2" t="s">
        <v>192</v>
      </c>
      <c r="R319" s="6" t="s">
        <v>1174</v>
      </c>
      <c r="S319" s="2" t="s">
        <v>25</v>
      </c>
      <c r="T319" s="3"/>
      <c r="V319" s="3"/>
      <c r="W319" s="2" t="s">
        <v>1258</v>
      </c>
    </row>
    <row r="320" spans="1:23" ht="41.25" customHeight="1" x14ac:dyDescent="0.25">
      <c r="A320" s="2" t="s">
        <v>40</v>
      </c>
      <c r="B320" s="5" t="s">
        <v>1204</v>
      </c>
      <c r="C320" s="18"/>
      <c r="D320" s="18" t="s">
        <v>30</v>
      </c>
      <c r="E320" s="2" t="s">
        <v>1396</v>
      </c>
      <c r="F320" s="1">
        <v>87</v>
      </c>
      <c r="G320" s="3">
        <v>46212</v>
      </c>
      <c r="H320" s="3"/>
      <c r="I320" s="3">
        <v>46218</v>
      </c>
      <c r="J320" s="1">
        <v>6</v>
      </c>
      <c r="K320" s="1">
        <v>0</v>
      </c>
      <c r="L320" s="1">
        <v>144</v>
      </c>
      <c r="M320" s="1">
        <v>302</v>
      </c>
      <c r="N320" s="1">
        <v>96</v>
      </c>
      <c r="O320" s="1">
        <v>9</v>
      </c>
      <c r="P320" s="1">
        <v>1385</v>
      </c>
      <c r="Q320" s="2" t="s">
        <v>167</v>
      </c>
      <c r="R320" s="6" t="s">
        <v>1397</v>
      </c>
      <c r="S320" s="2" t="s">
        <v>25</v>
      </c>
      <c r="T320" s="3"/>
      <c r="V320" s="3"/>
      <c r="W320" s="2" t="s">
        <v>35</v>
      </c>
    </row>
    <row r="321" spans="1:23" ht="41.25" customHeight="1" x14ac:dyDescent="0.25">
      <c r="A321" s="2" t="s">
        <v>40</v>
      </c>
      <c r="B321" s="5" t="s">
        <v>1204</v>
      </c>
      <c r="C321" s="18"/>
      <c r="D321" s="18"/>
      <c r="E321" s="2" t="s">
        <v>221</v>
      </c>
      <c r="G321" s="3">
        <v>46218</v>
      </c>
      <c r="H321" s="3"/>
      <c r="I321" s="3">
        <v>46226</v>
      </c>
      <c r="J321" s="1">
        <v>8</v>
      </c>
      <c r="K321" s="1">
        <v>0</v>
      </c>
      <c r="L321" s="1">
        <v>192</v>
      </c>
      <c r="M321" s="1">
        <v>0</v>
      </c>
      <c r="N321" s="1">
        <v>0</v>
      </c>
      <c r="O321" s="1">
        <v>0</v>
      </c>
      <c r="Q321" s="2" t="s">
        <v>51</v>
      </c>
      <c r="R321" s="6" t="s">
        <v>43</v>
      </c>
      <c r="S321" s="2" t="s">
        <v>25</v>
      </c>
      <c r="T321" s="3"/>
      <c r="V321" s="3"/>
      <c r="W321" s="2" t="s">
        <v>95</v>
      </c>
    </row>
    <row r="322" spans="1:23" ht="41.25" customHeight="1" x14ac:dyDescent="0.25">
      <c r="A322" s="2" t="s">
        <v>33</v>
      </c>
      <c r="B322" s="5" t="s">
        <v>82</v>
      </c>
      <c r="C322" s="18" t="s">
        <v>23</v>
      </c>
      <c r="D322" s="18" t="s">
        <v>41</v>
      </c>
      <c r="E322" s="2" t="s">
        <v>1216</v>
      </c>
      <c r="F322" s="1">
        <v>10</v>
      </c>
      <c r="G322" s="3">
        <v>46125</v>
      </c>
      <c r="H322" s="3"/>
      <c r="I322" s="3">
        <v>46131</v>
      </c>
      <c r="J322" s="1">
        <v>6</v>
      </c>
      <c r="K322" s="1">
        <v>0</v>
      </c>
      <c r="L322" s="1">
        <v>144</v>
      </c>
      <c r="M322" s="1">
        <v>1000</v>
      </c>
      <c r="O322" s="1">
        <v>0</v>
      </c>
      <c r="P322" s="1">
        <v>0</v>
      </c>
      <c r="Q322" s="2" t="s">
        <v>186</v>
      </c>
      <c r="R322" s="6" t="s">
        <v>118</v>
      </c>
      <c r="S322" s="2" t="s">
        <v>25</v>
      </c>
      <c r="T322" s="3"/>
      <c r="V322" s="3"/>
      <c r="W322" s="2" t="s">
        <v>24</v>
      </c>
    </row>
    <row r="323" spans="1:23" ht="41.25" customHeight="1" x14ac:dyDescent="0.25">
      <c r="A323" s="2" t="s">
        <v>33</v>
      </c>
      <c r="B323" s="5" t="s">
        <v>82</v>
      </c>
      <c r="C323" s="18"/>
      <c r="D323" s="18"/>
      <c r="E323" s="2" t="s">
        <v>1246</v>
      </c>
      <c r="G323" s="3">
        <v>46131</v>
      </c>
      <c r="H323" s="3"/>
      <c r="I323" s="3">
        <v>46138</v>
      </c>
      <c r="J323" s="1">
        <v>7</v>
      </c>
      <c r="K323" s="1">
        <v>0</v>
      </c>
      <c r="L323" s="1">
        <v>168</v>
      </c>
      <c r="M323" s="1">
        <v>0</v>
      </c>
      <c r="N323" s="1">
        <v>0</v>
      </c>
      <c r="O323" s="1">
        <v>0</v>
      </c>
      <c r="Q323" s="2" t="s">
        <v>84</v>
      </c>
      <c r="R323" s="6" t="s">
        <v>1407</v>
      </c>
      <c r="S323" s="2" t="s">
        <v>25</v>
      </c>
      <c r="T323" s="3"/>
      <c r="V323" s="3"/>
      <c r="W323" s="2" t="s">
        <v>95</v>
      </c>
    </row>
    <row r="324" spans="1:23" ht="41.25" customHeight="1" x14ac:dyDescent="0.25">
      <c r="A324" s="2" t="s">
        <v>33</v>
      </c>
      <c r="B324" s="5" t="s">
        <v>82</v>
      </c>
      <c r="C324" s="18" t="s">
        <v>23</v>
      </c>
      <c r="D324" s="18"/>
      <c r="E324" s="2" t="s">
        <v>132</v>
      </c>
      <c r="F324" s="1">
        <v>56</v>
      </c>
      <c r="G324" s="3">
        <v>46138</v>
      </c>
      <c r="H324" s="3"/>
      <c r="I324" s="3">
        <v>46146</v>
      </c>
      <c r="J324" s="1">
        <v>8</v>
      </c>
      <c r="K324" s="1">
        <v>0</v>
      </c>
      <c r="L324" s="1">
        <v>192</v>
      </c>
      <c r="M324" s="1">
        <v>199</v>
      </c>
      <c r="N324" s="1">
        <v>75</v>
      </c>
      <c r="O324" s="1">
        <v>41</v>
      </c>
      <c r="P324" s="1">
        <v>236</v>
      </c>
      <c r="Q324" s="2" t="s">
        <v>203</v>
      </c>
      <c r="R324" s="6" t="s">
        <v>204</v>
      </c>
      <c r="S324" s="2" t="s">
        <v>25</v>
      </c>
      <c r="T324" s="3"/>
      <c r="V324" s="3"/>
      <c r="W324" s="2" t="s">
        <v>104</v>
      </c>
    </row>
    <row r="325" spans="1:23" ht="41.25" customHeight="1" x14ac:dyDescent="0.25">
      <c r="A325" s="2" t="s">
        <v>33</v>
      </c>
      <c r="B325" s="5" t="s">
        <v>82</v>
      </c>
      <c r="C325" s="18" t="s">
        <v>23</v>
      </c>
      <c r="D325" s="18"/>
      <c r="E325" s="2" t="s">
        <v>778</v>
      </c>
      <c r="F325" s="1">
        <v>37</v>
      </c>
      <c r="G325" s="3">
        <v>46146</v>
      </c>
      <c r="H325" s="3"/>
      <c r="I325" s="3">
        <v>46149</v>
      </c>
      <c r="J325" s="1">
        <v>3</v>
      </c>
      <c r="K325" s="1">
        <v>0</v>
      </c>
      <c r="L325" s="1">
        <v>72</v>
      </c>
      <c r="M325" s="1">
        <v>236</v>
      </c>
      <c r="N325" s="1">
        <v>90</v>
      </c>
      <c r="O325" s="1">
        <v>18</v>
      </c>
      <c r="P325" s="1">
        <v>4375</v>
      </c>
      <c r="Q325" s="2" t="s">
        <v>109</v>
      </c>
      <c r="R325" s="6" t="s">
        <v>1381</v>
      </c>
      <c r="S325" s="2" t="s">
        <v>1361</v>
      </c>
      <c r="T325" s="3"/>
      <c r="V325" s="3"/>
      <c r="W325" s="2" t="s">
        <v>104</v>
      </c>
    </row>
    <row r="326" spans="1:23" ht="41.25" customHeight="1" x14ac:dyDescent="0.25">
      <c r="A326" s="2" t="s">
        <v>33</v>
      </c>
      <c r="B326" s="5" t="s">
        <v>82</v>
      </c>
      <c r="C326" s="18"/>
      <c r="D326" s="18"/>
      <c r="E326" s="2" t="s">
        <v>788</v>
      </c>
      <c r="F326" s="1">
        <v>95</v>
      </c>
      <c r="G326" s="3">
        <v>46149</v>
      </c>
      <c r="H326" s="3"/>
      <c r="I326" s="3">
        <v>46153</v>
      </c>
      <c r="J326" s="1">
        <v>4</v>
      </c>
      <c r="K326" s="1">
        <v>0</v>
      </c>
      <c r="L326" s="1">
        <v>96</v>
      </c>
      <c r="M326" s="1">
        <v>112</v>
      </c>
      <c r="N326" s="1">
        <v>82</v>
      </c>
      <c r="O326" s="1">
        <v>17</v>
      </c>
      <c r="P326" s="1">
        <v>499</v>
      </c>
      <c r="Q326" s="2" t="s">
        <v>84</v>
      </c>
      <c r="R326" s="6" t="s">
        <v>1379</v>
      </c>
      <c r="S326" s="2" t="s">
        <v>25</v>
      </c>
      <c r="T326" s="3"/>
      <c r="V326" s="3"/>
      <c r="W326" s="2" t="s">
        <v>104</v>
      </c>
    </row>
    <row r="327" spans="1:23" ht="41.25" customHeight="1" x14ac:dyDescent="0.25">
      <c r="A327" s="2" t="s">
        <v>33</v>
      </c>
      <c r="B327" s="5" t="s">
        <v>82</v>
      </c>
      <c r="C327" s="18"/>
      <c r="D327" s="18"/>
      <c r="E327" s="2" t="s">
        <v>1219</v>
      </c>
      <c r="F327" s="1">
        <v>95</v>
      </c>
      <c r="G327" s="3">
        <v>46153</v>
      </c>
      <c r="H327" s="3"/>
      <c r="I327" s="3">
        <v>46157</v>
      </c>
      <c r="J327" s="1">
        <v>4</v>
      </c>
      <c r="K327" s="1">
        <v>0</v>
      </c>
      <c r="L327" s="1">
        <v>96</v>
      </c>
      <c r="M327" s="1">
        <v>175</v>
      </c>
      <c r="N327" s="1">
        <v>0</v>
      </c>
      <c r="O327" s="1">
        <v>9</v>
      </c>
      <c r="P327" s="1">
        <v>0</v>
      </c>
      <c r="Q327" s="2" t="s">
        <v>84</v>
      </c>
      <c r="R327" s="6" t="s">
        <v>1379</v>
      </c>
      <c r="S327" s="2" t="s">
        <v>25</v>
      </c>
      <c r="T327" s="3"/>
      <c r="V327" s="3"/>
      <c r="W327" s="2" t="s">
        <v>1256</v>
      </c>
    </row>
    <row r="328" spans="1:23" ht="41.25" customHeight="1" x14ac:dyDescent="0.25">
      <c r="A328" s="2" t="s">
        <v>33</v>
      </c>
      <c r="B328" s="5" t="s">
        <v>82</v>
      </c>
      <c r="C328" s="18"/>
      <c r="D328" s="18"/>
      <c r="E328" s="2" t="s">
        <v>362</v>
      </c>
      <c r="F328" s="1">
        <v>1</v>
      </c>
      <c r="G328" s="3">
        <v>46157</v>
      </c>
      <c r="H328" s="3"/>
      <c r="I328" s="3">
        <v>46161</v>
      </c>
      <c r="J328" s="1">
        <v>4</v>
      </c>
      <c r="K328" s="1">
        <v>0</v>
      </c>
      <c r="L328" s="1">
        <v>96</v>
      </c>
      <c r="M328" s="1">
        <v>72</v>
      </c>
      <c r="N328" s="1">
        <v>94</v>
      </c>
      <c r="O328" s="1">
        <v>4</v>
      </c>
      <c r="P328" s="1">
        <v>232</v>
      </c>
      <c r="Q328" s="2" t="s">
        <v>84</v>
      </c>
      <c r="R328" s="6" t="s">
        <v>93</v>
      </c>
      <c r="S328" s="2" t="s">
        <v>25</v>
      </c>
      <c r="T328" s="3"/>
      <c r="V328" s="3"/>
      <c r="W328" s="2" t="s">
        <v>29</v>
      </c>
    </row>
    <row r="329" spans="1:23" ht="41.25" customHeight="1" x14ac:dyDescent="0.25">
      <c r="A329" s="2" t="s">
        <v>33</v>
      </c>
      <c r="B329" s="5" t="s">
        <v>82</v>
      </c>
      <c r="C329" s="18" t="s">
        <v>23</v>
      </c>
      <c r="D329" s="18"/>
      <c r="E329" s="2" t="s">
        <v>1499</v>
      </c>
      <c r="F329" s="1">
        <v>51</v>
      </c>
      <c r="G329" s="3">
        <v>46161</v>
      </c>
      <c r="H329" s="3"/>
      <c r="I329" s="3">
        <v>46170</v>
      </c>
      <c r="J329" s="1">
        <v>9</v>
      </c>
      <c r="K329" s="1">
        <v>0</v>
      </c>
      <c r="L329" s="1">
        <v>216</v>
      </c>
      <c r="M329" s="1">
        <v>272</v>
      </c>
      <c r="N329" s="1">
        <v>68</v>
      </c>
      <c r="O329" s="1">
        <v>76</v>
      </c>
      <c r="P329" s="1">
        <v>207</v>
      </c>
      <c r="Q329" s="2" t="s">
        <v>83</v>
      </c>
      <c r="R329" s="6" t="s">
        <v>1483</v>
      </c>
      <c r="S329" s="2" t="s">
        <v>25</v>
      </c>
      <c r="T329" s="3"/>
      <c r="V329" s="3"/>
      <c r="W329" s="2" t="s">
        <v>42</v>
      </c>
    </row>
    <row r="330" spans="1:23" ht="41.25" customHeight="1" x14ac:dyDescent="0.25">
      <c r="A330" s="2" t="s">
        <v>33</v>
      </c>
      <c r="B330" s="5" t="s">
        <v>82</v>
      </c>
      <c r="C330" s="18"/>
      <c r="D330" s="18"/>
      <c r="E330" s="2" t="s">
        <v>1480</v>
      </c>
      <c r="F330" s="1">
        <v>51</v>
      </c>
      <c r="G330" s="3">
        <v>46170</v>
      </c>
      <c r="H330" s="3"/>
      <c r="I330" s="3">
        <v>46177</v>
      </c>
      <c r="J330" s="1">
        <v>6</v>
      </c>
      <c r="K330" s="1">
        <v>1</v>
      </c>
      <c r="L330" s="1">
        <v>168</v>
      </c>
      <c r="M330" s="1">
        <v>991</v>
      </c>
      <c r="N330" s="1">
        <v>0</v>
      </c>
      <c r="O330" s="1">
        <v>0</v>
      </c>
      <c r="P330" s="1">
        <v>344</v>
      </c>
      <c r="Q330" s="2" t="s">
        <v>83</v>
      </c>
      <c r="R330" s="6" t="s">
        <v>36</v>
      </c>
      <c r="S330" s="2" t="s">
        <v>25</v>
      </c>
      <c r="T330" s="3"/>
      <c r="V330" s="3"/>
      <c r="W330" s="2" t="s">
        <v>95</v>
      </c>
    </row>
    <row r="331" spans="1:23" ht="41.25" customHeight="1" x14ac:dyDescent="0.25">
      <c r="A331" s="2" t="s">
        <v>33</v>
      </c>
      <c r="B331" s="5" t="s">
        <v>82</v>
      </c>
      <c r="C331" s="18"/>
      <c r="D331" s="18"/>
      <c r="E331" s="2" t="s">
        <v>1246</v>
      </c>
      <c r="G331" s="3">
        <v>46177</v>
      </c>
      <c r="H331" s="3"/>
      <c r="I331" s="3">
        <v>46183</v>
      </c>
      <c r="J331" s="1">
        <v>5</v>
      </c>
      <c r="K331" s="1">
        <v>1</v>
      </c>
      <c r="L331" s="1">
        <v>144</v>
      </c>
      <c r="M331" s="1">
        <v>0</v>
      </c>
      <c r="N331" s="1">
        <v>0</v>
      </c>
      <c r="O331" s="1">
        <v>0</v>
      </c>
      <c r="Q331" s="2" t="s">
        <v>84</v>
      </c>
      <c r="R331" s="6" t="s">
        <v>1481</v>
      </c>
      <c r="S331" s="2" t="s">
        <v>25</v>
      </c>
      <c r="T331" s="3"/>
      <c r="V331" s="3"/>
      <c r="W331" s="2" t="s">
        <v>95</v>
      </c>
    </row>
    <row r="332" spans="1:23" ht="41.25" customHeight="1" x14ac:dyDescent="0.25">
      <c r="A332" s="2" t="s">
        <v>33</v>
      </c>
      <c r="B332" s="5" t="s">
        <v>82</v>
      </c>
      <c r="C332" s="18"/>
      <c r="D332" s="18"/>
      <c r="E332" s="2" t="s">
        <v>572</v>
      </c>
      <c r="F332" s="1">
        <v>15</v>
      </c>
      <c r="G332" s="3">
        <v>46183</v>
      </c>
      <c r="H332" s="3"/>
      <c r="I332" s="3">
        <v>46190</v>
      </c>
      <c r="J332" s="1">
        <v>6</v>
      </c>
      <c r="K332" s="1">
        <v>1</v>
      </c>
      <c r="L332" s="1">
        <v>168</v>
      </c>
      <c r="M332" s="1">
        <v>325</v>
      </c>
      <c r="N332" s="1">
        <v>0</v>
      </c>
      <c r="O332" s="1">
        <v>0</v>
      </c>
      <c r="P332" s="1">
        <v>1707</v>
      </c>
      <c r="Q332" s="2" t="s">
        <v>83</v>
      </c>
      <c r="R332" s="6" t="s">
        <v>36</v>
      </c>
      <c r="S332" s="2" t="s">
        <v>25</v>
      </c>
      <c r="T332" s="3"/>
      <c r="V332" s="3"/>
      <c r="W332" s="2" t="s">
        <v>95</v>
      </c>
    </row>
    <row r="333" spans="1:23" ht="41.25" customHeight="1" x14ac:dyDescent="0.25">
      <c r="A333" s="2" t="s">
        <v>33</v>
      </c>
      <c r="B333" s="5" t="s">
        <v>82</v>
      </c>
      <c r="C333" s="18" t="s">
        <v>23</v>
      </c>
      <c r="D333" s="18"/>
      <c r="E333" s="2" t="s">
        <v>1482</v>
      </c>
      <c r="F333" s="1">
        <v>17</v>
      </c>
      <c r="G333" s="3">
        <v>46190</v>
      </c>
      <c r="H333" s="3"/>
      <c r="I333" s="3">
        <v>46200</v>
      </c>
      <c r="J333" s="1">
        <v>9</v>
      </c>
      <c r="K333" s="1">
        <v>1</v>
      </c>
      <c r="L333" s="1">
        <v>240</v>
      </c>
      <c r="M333" s="1">
        <v>243</v>
      </c>
      <c r="N333" s="1">
        <v>31</v>
      </c>
      <c r="O333" s="1">
        <v>144</v>
      </c>
      <c r="P333" s="1">
        <v>1000</v>
      </c>
      <c r="Q333" s="2" t="s">
        <v>83</v>
      </c>
      <c r="R333" s="6" t="s">
        <v>1483</v>
      </c>
      <c r="S333" s="2" t="s">
        <v>1484</v>
      </c>
      <c r="T333" s="3"/>
      <c r="V333" s="3"/>
      <c r="W333" s="2" t="s">
        <v>24</v>
      </c>
    </row>
    <row r="334" spans="1:23" ht="41.25" customHeight="1" x14ac:dyDescent="0.25">
      <c r="A334" s="2" t="s">
        <v>33</v>
      </c>
      <c r="B334" s="5" t="s">
        <v>82</v>
      </c>
      <c r="C334" s="18"/>
      <c r="D334" s="18"/>
      <c r="E334" s="2" t="s">
        <v>228</v>
      </c>
      <c r="F334" s="1">
        <v>17</v>
      </c>
      <c r="G334" s="3">
        <v>46200</v>
      </c>
      <c r="H334" s="3"/>
      <c r="I334" s="3">
        <v>46206</v>
      </c>
      <c r="J334" s="1">
        <v>6</v>
      </c>
      <c r="K334" s="1">
        <v>0</v>
      </c>
      <c r="L334" s="1">
        <v>144</v>
      </c>
      <c r="M334" s="1">
        <v>1248</v>
      </c>
      <c r="N334" s="1">
        <v>0</v>
      </c>
      <c r="O334" s="1">
        <v>0</v>
      </c>
      <c r="P334" s="1">
        <v>83</v>
      </c>
      <c r="Q334" s="2" t="s">
        <v>83</v>
      </c>
      <c r="R334" s="6" t="s">
        <v>36</v>
      </c>
      <c r="S334" s="2" t="s">
        <v>25</v>
      </c>
      <c r="T334" s="3"/>
      <c r="V334" s="3"/>
      <c r="W334" s="2" t="s">
        <v>95</v>
      </c>
    </row>
    <row r="335" spans="1:23" ht="41.25" customHeight="1" x14ac:dyDescent="0.25">
      <c r="A335" s="2" t="s">
        <v>33</v>
      </c>
      <c r="B335" s="5" t="s">
        <v>82</v>
      </c>
      <c r="C335" s="18" t="s">
        <v>23</v>
      </c>
      <c r="D335" s="18"/>
      <c r="E335" s="2" t="s">
        <v>1485</v>
      </c>
      <c r="F335" s="1">
        <v>19</v>
      </c>
      <c r="G335" s="3">
        <v>46206</v>
      </c>
      <c r="H335" s="3"/>
      <c r="I335" s="3">
        <v>46215</v>
      </c>
      <c r="J335" s="1">
        <v>9</v>
      </c>
      <c r="K335" s="1">
        <v>0</v>
      </c>
      <c r="L335" s="1">
        <v>216</v>
      </c>
      <c r="M335" s="1">
        <v>150</v>
      </c>
      <c r="N335" s="1">
        <v>5</v>
      </c>
      <c r="O335" s="1">
        <v>123</v>
      </c>
      <c r="P335" s="1">
        <v>1000</v>
      </c>
      <c r="Q335" s="2" t="s">
        <v>83</v>
      </c>
      <c r="R335" s="6" t="s">
        <v>1483</v>
      </c>
      <c r="S335" s="2" t="s">
        <v>1486</v>
      </c>
      <c r="T335" s="3"/>
      <c r="V335" s="3"/>
      <c r="W335" s="2" t="s">
        <v>1487</v>
      </c>
    </row>
    <row r="336" spans="1:23" ht="41.25" customHeight="1" x14ac:dyDescent="0.25">
      <c r="A336" s="2" t="s">
        <v>33</v>
      </c>
      <c r="B336" s="5" t="s">
        <v>82</v>
      </c>
      <c r="C336" s="18"/>
      <c r="D336" s="18"/>
      <c r="E336" s="2" t="s">
        <v>1246</v>
      </c>
      <c r="G336" s="3">
        <v>46215</v>
      </c>
      <c r="H336" s="3"/>
      <c r="I336" s="3">
        <v>46220</v>
      </c>
      <c r="J336" s="1">
        <v>5</v>
      </c>
      <c r="K336" s="1">
        <v>0</v>
      </c>
      <c r="L336" s="1">
        <v>120</v>
      </c>
      <c r="M336" s="1">
        <v>0</v>
      </c>
      <c r="N336" s="1">
        <v>0</v>
      </c>
      <c r="O336" s="1">
        <v>0</v>
      </c>
      <c r="Q336" s="2" t="s">
        <v>84</v>
      </c>
      <c r="R336" s="6" t="s">
        <v>1481</v>
      </c>
      <c r="S336" s="2" t="s">
        <v>25</v>
      </c>
      <c r="T336" s="3"/>
      <c r="V336" s="3"/>
      <c r="W336" s="2" t="s">
        <v>95</v>
      </c>
    </row>
    <row r="337" spans="1:23" ht="41.25" customHeight="1" x14ac:dyDescent="0.25">
      <c r="A337" s="2" t="s">
        <v>33</v>
      </c>
      <c r="B337" s="5" t="s">
        <v>85</v>
      </c>
      <c r="C337" s="18" t="s">
        <v>23</v>
      </c>
      <c r="D337" s="18" t="s">
        <v>41</v>
      </c>
      <c r="E337" s="2" t="s">
        <v>1163</v>
      </c>
      <c r="F337" s="1">
        <v>333</v>
      </c>
      <c r="G337" s="3">
        <v>46125</v>
      </c>
      <c r="H337" s="3"/>
      <c r="I337" s="3">
        <v>46140</v>
      </c>
      <c r="J337" s="1">
        <v>15</v>
      </c>
      <c r="K337" s="1">
        <v>0</v>
      </c>
      <c r="L337" s="1">
        <v>360</v>
      </c>
      <c r="M337" s="1">
        <v>260</v>
      </c>
      <c r="N337" s="1">
        <v>10</v>
      </c>
      <c r="O337" s="1">
        <v>191</v>
      </c>
      <c r="P337" s="1">
        <v>320</v>
      </c>
      <c r="Q337" s="2" t="s">
        <v>203</v>
      </c>
      <c r="R337" s="6" t="s">
        <v>1440</v>
      </c>
      <c r="S337" s="2" t="s">
        <v>1325</v>
      </c>
      <c r="T337" s="3"/>
      <c r="V337" s="3"/>
      <c r="W337" s="2" t="s">
        <v>276</v>
      </c>
    </row>
    <row r="338" spans="1:23" ht="41.25" customHeight="1" x14ac:dyDescent="0.25">
      <c r="A338" s="2" t="s">
        <v>33</v>
      </c>
      <c r="B338" s="5" t="s">
        <v>85</v>
      </c>
      <c r="C338" s="18" t="s">
        <v>23</v>
      </c>
      <c r="D338" s="18"/>
      <c r="E338" s="2" t="s">
        <v>138</v>
      </c>
      <c r="F338" s="1">
        <v>179</v>
      </c>
      <c r="G338" s="3">
        <v>46140</v>
      </c>
      <c r="H338" s="3"/>
      <c r="I338" s="3">
        <v>46144</v>
      </c>
      <c r="J338" s="1">
        <v>4</v>
      </c>
      <c r="K338" s="1">
        <v>0</v>
      </c>
      <c r="L338" s="1">
        <v>96</v>
      </c>
      <c r="M338" s="1">
        <v>120</v>
      </c>
      <c r="N338" s="1">
        <v>6</v>
      </c>
      <c r="O338" s="1">
        <v>92</v>
      </c>
      <c r="P338" s="1">
        <v>617</v>
      </c>
      <c r="Q338" s="2" t="s">
        <v>84</v>
      </c>
      <c r="R338" s="6" t="s">
        <v>1545</v>
      </c>
      <c r="S338" s="2" t="s">
        <v>25</v>
      </c>
      <c r="T338" s="3"/>
      <c r="V338" s="3"/>
      <c r="W338" s="2" t="s">
        <v>95</v>
      </c>
    </row>
    <row r="339" spans="1:23" ht="41.25" customHeight="1" x14ac:dyDescent="0.25">
      <c r="A339" s="2" t="s">
        <v>33</v>
      </c>
      <c r="B339" s="5" t="s">
        <v>85</v>
      </c>
      <c r="C339" s="18"/>
      <c r="D339" s="18"/>
      <c r="E339" s="2" t="s">
        <v>171</v>
      </c>
      <c r="F339" s="1">
        <v>5</v>
      </c>
      <c r="G339" s="3">
        <v>46144</v>
      </c>
      <c r="H339" s="3"/>
      <c r="I339" s="3">
        <v>46154</v>
      </c>
      <c r="J339" s="1">
        <v>10</v>
      </c>
      <c r="K339" s="1">
        <v>0</v>
      </c>
      <c r="L339" s="1">
        <v>240</v>
      </c>
      <c r="M339" s="1">
        <v>265</v>
      </c>
      <c r="N339" s="1">
        <v>1</v>
      </c>
      <c r="O339" s="1">
        <v>212</v>
      </c>
      <c r="P339" s="1">
        <v>320</v>
      </c>
      <c r="Q339" s="2" t="s">
        <v>83</v>
      </c>
      <c r="R339" s="6" t="s">
        <v>1184</v>
      </c>
      <c r="S339" s="2" t="s">
        <v>1366</v>
      </c>
      <c r="T339" s="3"/>
      <c r="V339" s="3"/>
      <c r="W339" s="2" t="s">
        <v>28</v>
      </c>
    </row>
    <row r="340" spans="1:23" ht="41.25" customHeight="1" x14ac:dyDescent="0.25">
      <c r="A340" s="2" t="s">
        <v>33</v>
      </c>
      <c r="B340" s="5" t="s">
        <v>85</v>
      </c>
      <c r="C340" s="18"/>
      <c r="D340" s="18"/>
      <c r="E340" s="2" t="s">
        <v>267</v>
      </c>
      <c r="F340" s="1">
        <v>25</v>
      </c>
      <c r="G340" s="3">
        <v>46154</v>
      </c>
      <c r="H340" s="3"/>
      <c r="I340" s="3">
        <v>46158</v>
      </c>
      <c r="J340" s="1">
        <v>4</v>
      </c>
      <c r="K340" s="1">
        <v>0</v>
      </c>
      <c r="L340" s="1">
        <v>96</v>
      </c>
      <c r="M340" s="1">
        <v>80</v>
      </c>
      <c r="N340" s="1">
        <v>82</v>
      </c>
      <c r="O340" s="1">
        <v>12</v>
      </c>
      <c r="P340" s="1">
        <v>267</v>
      </c>
      <c r="Q340" s="2" t="s">
        <v>84</v>
      </c>
      <c r="R340" s="6" t="s">
        <v>93</v>
      </c>
      <c r="S340" s="2" t="s">
        <v>1364</v>
      </c>
      <c r="T340" s="3"/>
      <c r="V340" s="3"/>
      <c r="W340" s="2" t="s">
        <v>27</v>
      </c>
    </row>
    <row r="341" spans="1:23" ht="41.25" customHeight="1" x14ac:dyDescent="0.25">
      <c r="A341" s="2" t="s">
        <v>33</v>
      </c>
      <c r="B341" s="5" t="s">
        <v>85</v>
      </c>
      <c r="C341" s="18"/>
      <c r="D341" s="18"/>
      <c r="E341" s="2" t="s">
        <v>1155</v>
      </c>
      <c r="F341" s="1">
        <v>34</v>
      </c>
      <c r="G341" s="3">
        <v>46158</v>
      </c>
      <c r="H341" s="3"/>
      <c r="I341" s="3">
        <v>46166</v>
      </c>
      <c r="J341" s="1">
        <v>8</v>
      </c>
      <c r="K341" s="1">
        <v>0</v>
      </c>
      <c r="L341" s="1">
        <v>192</v>
      </c>
      <c r="M341" s="1">
        <v>20</v>
      </c>
      <c r="N341" s="1">
        <v>40</v>
      </c>
      <c r="O341" s="1">
        <v>10</v>
      </c>
      <c r="P341" s="1">
        <v>352</v>
      </c>
      <c r="Q341" s="2" t="s">
        <v>84</v>
      </c>
      <c r="R341" s="6" t="s">
        <v>303</v>
      </c>
      <c r="S341" s="2" t="s">
        <v>25</v>
      </c>
      <c r="T341" s="3"/>
      <c r="V341" s="3"/>
      <c r="W341" s="2" t="s">
        <v>35</v>
      </c>
    </row>
    <row r="342" spans="1:23" ht="41.25" customHeight="1" x14ac:dyDescent="0.25">
      <c r="A342" s="2" t="s">
        <v>33</v>
      </c>
      <c r="B342" s="5" t="s">
        <v>85</v>
      </c>
      <c r="C342" s="18"/>
      <c r="D342" s="18"/>
      <c r="E342" s="2" t="s">
        <v>302</v>
      </c>
      <c r="F342" s="1">
        <v>100</v>
      </c>
      <c r="G342" s="3">
        <v>46166</v>
      </c>
      <c r="H342" s="3"/>
      <c r="I342" s="3">
        <v>46174</v>
      </c>
      <c r="J342" s="1">
        <v>8</v>
      </c>
      <c r="K342" s="1">
        <v>0</v>
      </c>
      <c r="L342" s="1">
        <v>192</v>
      </c>
      <c r="M342" s="1">
        <v>64</v>
      </c>
      <c r="N342" s="1">
        <v>83</v>
      </c>
      <c r="O342" s="1">
        <v>9</v>
      </c>
      <c r="P342" s="1">
        <v>146</v>
      </c>
      <c r="Q342" s="2" t="s">
        <v>84</v>
      </c>
      <c r="R342" s="6" t="s">
        <v>303</v>
      </c>
      <c r="S342" s="2" t="s">
        <v>25</v>
      </c>
      <c r="T342" s="3"/>
      <c r="V342" s="3"/>
      <c r="W342" s="2" t="s">
        <v>35</v>
      </c>
    </row>
    <row r="343" spans="1:23" ht="41.25" customHeight="1" x14ac:dyDescent="0.25">
      <c r="A343" s="2" t="s">
        <v>33</v>
      </c>
      <c r="B343" s="5" t="s">
        <v>85</v>
      </c>
      <c r="C343" s="18"/>
      <c r="D343" s="18"/>
      <c r="E343" s="2" t="s">
        <v>163</v>
      </c>
      <c r="F343" s="1">
        <v>59</v>
      </c>
      <c r="G343" s="3">
        <v>46174</v>
      </c>
      <c r="H343" s="3"/>
      <c r="I343" s="3">
        <v>46177</v>
      </c>
      <c r="J343" s="1">
        <v>3</v>
      </c>
      <c r="K343" s="1">
        <v>0</v>
      </c>
      <c r="L343" s="1">
        <v>72</v>
      </c>
      <c r="M343" s="1">
        <v>19</v>
      </c>
      <c r="N343" s="1">
        <v>50</v>
      </c>
      <c r="O343" s="1">
        <v>8</v>
      </c>
      <c r="P343" s="1">
        <v>146</v>
      </c>
      <c r="Q343" s="2" t="s">
        <v>84</v>
      </c>
      <c r="R343" s="6" t="s">
        <v>93</v>
      </c>
      <c r="S343" s="2" t="s">
        <v>25</v>
      </c>
      <c r="T343" s="3"/>
      <c r="V343" s="3"/>
      <c r="W343" s="2" t="s">
        <v>35</v>
      </c>
    </row>
    <row r="344" spans="1:23" ht="41.25" customHeight="1" x14ac:dyDescent="0.25">
      <c r="A344" s="2" t="s">
        <v>33</v>
      </c>
      <c r="B344" s="5" t="s">
        <v>85</v>
      </c>
      <c r="C344" s="18"/>
      <c r="D344" s="18"/>
      <c r="E344" s="2" t="s">
        <v>313</v>
      </c>
      <c r="F344" s="1">
        <v>96</v>
      </c>
      <c r="G344" s="3">
        <v>46177</v>
      </c>
      <c r="H344" s="3"/>
      <c r="I344" s="3">
        <v>46182</v>
      </c>
      <c r="J344" s="1">
        <v>5</v>
      </c>
      <c r="K344" s="1">
        <v>0</v>
      </c>
      <c r="L344" s="1">
        <v>120</v>
      </c>
      <c r="M344" s="1">
        <v>61</v>
      </c>
      <c r="N344" s="1">
        <v>96</v>
      </c>
      <c r="O344" s="1">
        <v>2</v>
      </c>
      <c r="P344" s="1">
        <v>7247</v>
      </c>
      <c r="Q344" s="2" t="s">
        <v>84</v>
      </c>
      <c r="R344" s="6" t="s">
        <v>303</v>
      </c>
      <c r="S344" s="2" t="s">
        <v>1362</v>
      </c>
      <c r="T344" s="3"/>
      <c r="V344" s="3"/>
      <c r="W344" s="2" t="s">
        <v>29</v>
      </c>
    </row>
    <row r="345" spans="1:23" ht="41.25" customHeight="1" x14ac:dyDescent="0.25">
      <c r="A345" s="2" t="s">
        <v>33</v>
      </c>
      <c r="B345" s="5" t="s">
        <v>85</v>
      </c>
      <c r="C345" s="18"/>
      <c r="D345" s="18"/>
      <c r="E345" s="2" t="s">
        <v>1386</v>
      </c>
      <c r="F345" s="1">
        <v>47</v>
      </c>
      <c r="G345" s="3">
        <v>46182</v>
      </c>
      <c r="H345" s="3"/>
      <c r="I345" s="3">
        <v>46192</v>
      </c>
      <c r="J345" s="1">
        <v>10</v>
      </c>
      <c r="K345" s="1">
        <v>0</v>
      </c>
      <c r="L345" s="1">
        <v>240</v>
      </c>
      <c r="M345" s="1">
        <v>1000</v>
      </c>
      <c r="P345" s="1">
        <v>4113</v>
      </c>
      <c r="Q345" s="2" t="s">
        <v>89</v>
      </c>
      <c r="R345" s="6" t="s">
        <v>1408</v>
      </c>
      <c r="S345" s="2" t="s">
        <v>1387</v>
      </c>
      <c r="T345" s="3">
        <v>46252</v>
      </c>
      <c r="U345" s="1">
        <v>2</v>
      </c>
      <c r="V345" s="3">
        <v>46258</v>
      </c>
      <c r="W345" s="2" t="s">
        <v>25</v>
      </c>
    </row>
    <row r="346" spans="1:23" ht="41.25" customHeight="1" x14ac:dyDescent="0.25">
      <c r="A346" s="2" t="s">
        <v>33</v>
      </c>
      <c r="B346" s="5" t="s">
        <v>85</v>
      </c>
      <c r="C346" s="18"/>
      <c r="D346" s="18"/>
      <c r="E346" s="2" t="s">
        <v>1135</v>
      </c>
      <c r="F346" s="1">
        <v>9</v>
      </c>
      <c r="G346" s="3">
        <v>46192</v>
      </c>
      <c r="H346" s="3"/>
      <c r="I346" s="3">
        <v>46200</v>
      </c>
      <c r="J346" s="1">
        <v>8</v>
      </c>
      <c r="K346" s="1">
        <v>0</v>
      </c>
      <c r="L346" s="1">
        <v>192</v>
      </c>
      <c r="M346" s="1">
        <v>125</v>
      </c>
      <c r="N346" s="1">
        <v>0</v>
      </c>
      <c r="O346" s="1">
        <v>0</v>
      </c>
      <c r="P346" s="1">
        <v>0</v>
      </c>
      <c r="Q346" s="2" t="s">
        <v>84</v>
      </c>
      <c r="R346" s="6" t="s">
        <v>93</v>
      </c>
      <c r="S346" s="2" t="s">
        <v>25</v>
      </c>
      <c r="T346" s="3"/>
      <c r="V346" s="3"/>
      <c r="W346" s="2" t="s">
        <v>1256</v>
      </c>
    </row>
    <row r="347" spans="1:23" ht="41.25" customHeight="1" x14ac:dyDescent="0.25">
      <c r="A347" s="2" t="s">
        <v>33</v>
      </c>
      <c r="B347" s="5" t="s">
        <v>85</v>
      </c>
      <c r="C347" s="18"/>
      <c r="D347" s="18"/>
      <c r="E347" s="2" t="s">
        <v>99</v>
      </c>
      <c r="F347" s="1">
        <v>4</v>
      </c>
      <c r="G347" s="3">
        <v>46200</v>
      </c>
      <c r="H347" s="3"/>
      <c r="I347" s="3">
        <v>46208</v>
      </c>
      <c r="J347" s="1">
        <v>8</v>
      </c>
      <c r="K347" s="1">
        <v>0</v>
      </c>
      <c r="L347" s="1">
        <v>192</v>
      </c>
      <c r="M347" s="1">
        <v>900000</v>
      </c>
      <c r="N347" s="1">
        <v>0</v>
      </c>
      <c r="O347" s="1">
        <v>0</v>
      </c>
      <c r="P347" s="1">
        <v>0</v>
      </c>
      <c r="Q347" s="2" t="s">
        <v>84</v>
      </c>
      <c r="R347" s="6" t="s">
        <v>118</v>
      </c>
      <c r="S347" s="2" t="s">
        <v>25</v>
      </c>
      <c r="T347" s="3"/>
      <c r="V347" s="3"/>
      <c r="W347" s="2" t="s">
        <v>1275</v>
      </c>
    </row>
    <row r="348" spans="1:23" ht="41.25" customHeight="1" x14ac:dyDescent="0.25">
      <c r="A348" s="2" t="s">
        <v>33</v>
      </c>
      <c r="B348" s="5" t="s">
        <v>85</v>
      </c>
      <c r="C348" s="18"/>
      <c r="D348" s="18"/>
      <c r="E348" s="2" t="s">
        <v>1178</v>
      </c>
      <c r="F348" s="1">
        <v>91</v>
      </c>
      <c r="G348" s="3">
        <v>46208</v>
      </c>
      <c r="H348" s="3"/>
      <c r="I348" s="3">
        <v>46218</v>
      </c>
      <c r="J348" s="1">
        <v>10</v>
      </c>
      <c r="K348" s="1">
        <v>0</v>
      </c>
      <c r="L348" s="1">
        <v>240</v>
      </c>
      <c r="M348" s="1">
        <v>1000000</v>
      </c>
      <c r="N348" s="1">
        <v>0</v>
      </c>
      <c r="O348" s="1">
        <v>120</v>
      </c>
      <c r="P348" s="1">
        <v>0</v>
      </c>
      <c r="Q348" s="2" t="s">
        <v>83</v>
      </c>
      <c r="R348" s="6" t="s">
        <v>36</v>
      </c>
      <c r="S348" s="2" t="s">
        <v>1363</v>
      </c>
      <c r="T348" s="3"/>
      <c r="V348" s="3"/>
      <c r="W348" s="2" t="s">
        <v>1275</v>
      </c>
    </row>
    <row r="349" spans="1:23" ht="41.25" customHeight="1" x14ac:dyDescent="0.25">
      <c r="A349" s="2" t="s">
        <v>33</v>
      </c>
      <c r="B349" s="5" t="s">
        <v>85</v>
      </c>
      <c r="C349" s="18"/>
      <c r="D349" s="18"/>
      <c r="E349" s="2" t="s">
        <v>1179</v>
      </c>
      <c r="F349" s="1">
        <v>18</v>
      </c>
      <c r="G349" s="3">
        <v>46218</v>
      </c>
      <c r="H349" s="3"/>
      <c r="I349" s="3">
        <v>46226</v>
      </c>
      <c r="J349" s="1">
        <v>8</v>
      </c>
      <c r="K349" s="1">
        <v>0</v>
      </c>
      <c r="L349" s="1">
        <v>192</v>
      </c>
      <c r="M349" s="1">
        <v>0</v>
      </c>
      <c r="N349" s="1">
        <v>0</v>
      </c>
      <c r="O349" s="1">
        <v>0</v>
      </c>
      <c r="P349" s="1">
        <v>0</v>
      </c>
      <c r="Q349" s="2" t="s">
        <v>83</v>
      </c>
      <c r="R349" s="6" t="s">
        <v>1180</v>
      </c>
      <c r="S349" s="2" t="s">
        <v>25</v>
      </c>
      <c r="T349" s="3"/>
      <c r="V349" s="3"/>
      <c r="W349" s="2" t="s">
        <v>1276</v>
      </c>
    </row>
    <row r="350" spans="1:23" ht="41.25" customHeight="1" x14ac:dyDescent="0.25">
      <c r="A350" s="2" t="s">
        <v>33</v>
      </c>
      <c r="B350" s="5" t="s">
        <v>85</v>
      </c>
      <c r="C350" s="18"/>
      <c r="D350" s="18"/>
      <c r="E350" s="2" t="s">
        <v>1300</v>
      </c>
      <c r="F350" s="1">
        <v>49</v>
      </c>
      <c r="G350" s="3">
        <v>46226</v>
      </c>
      <c r="H350" s="3"/>
      <c r="I350" s="3">
        <v>46229</v>
      </c>
      <c r="J350" s="1">
        <v>3</v>
      </c>
      <c r="K350" s="1">
        <v>0</v>
      </c>
      <c r="L350" s="1">
        <v>72</v>
      </c>
      <c r="M350" s="1">
        <v>28</v>
      </c>
      <c r="N350" s="1">
        <v>89</v>
      </c>
      <c r="O350" s="1">
        <v>3</v>
      </c>
      <c r="P350" s="1">
        <v>149</v>
      </c>
      <c r="Q350" s="2" t="s">
        <v>84</v>
      </c>
      <c r="R350" s="6" t="s">
        <v>93</v>
      </c>
      <c r="S350" s="2" t="s">
        <v>25</v>
      </c>
      <c r="T350" s="3"/>
      <c r="V350" s="3"/>
      <c r="W350" s="2" t="s">
        <v>29</v>
      </c>
    </row>
    <row r="351" spans="1:23" ht="41.25" customHeight="1" x14ac:dyDescent="0.25">
      <c r="A351" s="2" t="s">
        <v>33</v>
      </c>
      <c r="B351" s="5" t="s">
        <v>85</v>
      </c>
      <c r="C351" s="18"/>
      <c r="D351" s="18"/>
      <c r="E351" s="2" t="s">
        <v>1546</v>
      </c>
      <c r="F351" s="1">
        <v>96</v>
      </c>
      <c r="G351" s="3">
        <v>46229</v>
      </c>
      <c r="H351" s="3"/>
      <c r="I351" s="3">
        <v>46233</v>
      </c>
      <c r="J351" s="1">
        <v>4</v>
      </c>
      <c r="K351" s="1">
        <v>0</v>
      </c>
      <c r="L351" s="1">
        <v>96</v>
      </c>
      <c r="M351" s="1">
        <v>0</v>
      </c>
      <c r="N351" s="1">
        <v>0</v>
      </c>
      <c r="O351" s="1">
        <v>0</v>
      </c>
      <c r="P351" s="1">
        <v>0</v>
      </c>
      <c r="Q351" s="2" t="s">
        <v>84</v>
      </c>
      <c r="R351" s="6" t="s">
        <v>93</v>
      </c>
      <c r="S351" s="2" t="s">
        <v>25</v>
      </c>
      <c r="T351" s="3"/>
      <c r="V351" s="3"/>
      <c r="W351" s="2" t="s">
        <v>1256</v>
      </c>
    </row>
    <row r="352" spans="1:23" ht="41.25" customHeight="1" x14ac:dyDescent="0.25">
      <c r="A352" s="2" t="s">
        <v>33</v>
      </c>
      <c r="B352" s="5" t="s">
        <v>86</v>
      </c>
      <c r="C352" s="18"/>
      <c r="D352" s="18" t="s">
        <v>41</v>
      </c>
      <c r="E352" s="2" t="s">
        <v>201</v>
      </c>
      <c r="F352" s="1">
        <v>50</v>
      </c>
      <c r="G352" s="3">
        <v>46116</v>
      </c>
      <c r="H352" s="3"/>
      <c r="I352" s="3">
        <v>46141</v>
      </c>
      <c r="J352" s="1">
        <v>25</v>
      </c>
      <c r="K352" s="1">
        <v>0</v>
      </c>
      <c r="L352" s="1">
        <v>600</v>
      </c>
      <c r="M352" s="1">
        <v>298</v>
      </c>
      <c r="N352" s="1">
        <v>10</v>
      </c>
      <c r="O352" s="1">
        <v>218</v>
      </c>
      <c r="P352" s="1">
        <v>400</v>
      </c>
      <c r="Q352" s="2" t="s">
        <v>203</v>
      </c>
      <c r="R352" s="6" t="s">
        <v>1310</v>
      </c>
      <c r="S352" s="2" t="s">
        <v>1312</v>
      </c>
      <c r="T352" s="3">
        <v>46102</v>
      </c>
      <c r="U352" s="1">
        <v>1</v>
      </c>
      <c r="V352" s="3">
        <v>46103</v>
      </c>
      <c r="W352" s="2" t="s">
        <v>28</v>
      </c>
    </row>
    <row r="353" spans="1:23" ht="41.25" customHeight="1" x14ac:dyDescent="0.25">
      <c r="A353" s="2" t="s">
        <v>33</v>
      </c>
      <c r="B353" s="5" t="s">
        <v>86</v>
      </c>
      <c r="C353" s="18" t="s">
        <v>23</v>
      </c>
      <c r="D353" s="18"/>
      <c r="E353" s="2" t="s">
        <v>129</v>
      </c>
      <c r="F353" s="1">
        <v>50</v>
      </c>
      <c r="G353" s="3">
        <v>46141</v>
      </c>
      <c r="H353" s="3"/>
      <c r="I353" s="3">
        <v>46153</v>
      </c>
      <c r="J353" s="1">
        <v>12</v>
      </c>
      <c r="K353" s="1">
        <v>0</v>
      </c>
      <c r="L353" s="1">
        <v>288</v>
      </c>
      <c r="M353" s="1">
        <v>251</v>
      </c>
      <c r="N353" s="1">
        <v>10</v>
      </c>
      <c r="O353" s="1">
        <v>183</v>
      </c>
      <c r="P353" s="1">
        <v>400</v>
      </c>
      <c r="Q353" s="2" t="s">
        <v>203</v>
      </c>
      <c r="R353" s="6" t="s">
        <v>1409</v>
      </c>
      <c r="S353" s="2" t="s">
        <v>1335</v>
      </c>
      <c r="T353" s="3">
        <v>46108</v>
      </c>
      <c r="U353" s="1">
        <v>1</v>
      </c>
      <c r="V353" s="3">
        <v>46111</v>
      </c>
      <c r="W353" s="2" t="s">
        <v>28</v>
      </c>
    </row>
    <row r="354" spans="1:23" ht="41.25" customHeight="1" x14ac:dyDescent="0.25">
      <c r="A354" s="2" t="s">
        <v>33</v>
      </c>
      <c r="B354" s="5" t="s">
        <v>86</v>
      </c>
      <c r="C354" s="18" t="s">
        <v>23</v>
      </c>
      <c r="D354" s="18"/>
      <c r="E354" s="2" t="s">
        <v>169</v>
      </c>
      <c r="F354" s="1">
        <v>333</v>
      </c>
      <c r="G354" s="3">
        <v>46153</v>
      </c>
      <c r="H354" s="3"/>
      <c r="I354" s="3">
        <v>46164</v>
      </c>
      <c r="J354" s="1">
        <v>11</v>
      </c>
      <c r="K354" s="1">
        <v>0</v>
      </c>
      <c r="L354" s="1">
        <v>264</v>
      </c>
      <c r="M354" s="1">
        <v>447</v>
      </c>
      <c r="N354" s="1">
        <v>0</v>
      </c>
      <c r="O354" s="1">
        <v>0</v>
      </c>
      <c r="P354" s="1">
        <v>886</v>
      </c>
      <c r="Q354" s="2" t="s">
        <v>203</v>
      </c>
      <c r="R354" s="6" t="s">
        <v>1375</v>
      </c>
      <c r="S354" s="2" t="s">
        <v>25</v>
      </c>
      <c r="T354" s="3"/>
      <c r="V354" s="3"/>
      <c r="W354" s="2" t="s">
        <v>95</v>
      </c>
    </row>
    <row r="355" spans="1:23" ht="41.25" customHeight="1" x14ac:dyDescent="0.25">
      <c r="A355" s="2" t="s">
        <v>33</v>
      </c>
      <c r="B355" s="5" t="s">
        <v>86</v>
      </c>
      <c r="C355" s="18"/>
      <c r="D355" s="18" t="s">
        <v>1403</v>
      </c>
      <c r="E355" s="2" t="s">
        <v>121</v>
      </c>
      <c r="F355" s="1">
        <v>84</v>
      </c>
      <c r="G355" s="3">
        <v>46164</v>
      </c>
      <c r="H355" s="3"/>
      <c r="I355" s="3">
        <v>46174</v>
      </c>
      <c r="J355" s="1">
        <v>10</v>
      </c>
      <c r="K355" s="1">
        <v>0</v>
      </c>
      <c r="L355" s="1">
        <v>240</v>
      </c>
      <c r="M355" s="1">
        <v>243</v>
      </c>
      <c r="N355" s="1">
        <v>60</v>
      </c>
      <c r="O355" s="1">
        <v>79</v>
      </c>
      <c r="P355" s="1">
        <v>330</v>
      </c>
      <c r="Q355" s="2" t="s">
        <v>203</v>
      </c>
      <c r="R355" s="6" t="s">
        <v>1547</v>
      </c>
      <c r="S355" s="2" t="s">
        <v>1492</v>
      </c>
      <c r="T355" s="3"/>
      <c r="V355" s="3"/>
      <c r="W355" s="2" t="s">
        <v>25</v>
      </c>
    </row>
    <row r="356" spans="1:23" ht="41.25" customHeight="1" x14ac:dyDescent="0.25">
      <c r="A356" s="2" t="s">
        <v>33</v>
      </c>
      <c r="B356" s="5" t="s">
        <v>86</v>
      </c>
      <c r="C356" s="18"/>
      <c r="D356" s="18" t="s">
        <v>1403</v>
      </c>
      <c r="E356" s="2" t="s">
        <v>1468</v>
      </c>
      <c r="F356" s="1">
        <v>88</v>
      </c>
      <c r="G356" s="3">
        <v>46174</v>
      </c>
      <c r="H356" s="3"/>
      <c r="I356" s="3">
        <v>46184</v>
      </c>
      <c r="J356" s="1">
        <v>10</v>
      </c>
      <c r="K356" s="1">
        <v>0</v>
      </c>
      <c r="L356" s="1">
        <v>240</v>
      </c>
      <c r="M356" s="1">
        <v>31</v>
      </c>
      <c r="N356" s="1">
        <v>1</v>
      </c>
      <c r="O356" s="1">
        <v>25</v>
      </c>
      <c r="P356" s="1">
        <v>217</v>
      </c>
      <c r="Q356" s="2" t="s">
        <v>84</v>
      </c>
      <c r="R356" s="6" t="s">
        <v>179</v>
      </c>
      <c r="S356" s="2" t="s">
        <v>25</v>
      </c>
      <c r="T356" s="3"/>
      <c r="V356" s="3"/>
      <c r="W356" s="2" t="s">
        <v>95</v>
      </c>
    </row>
    <row r="357" spans="1:23" ht="41.25" customHeight="1" x14ac:dyDescent="0.25">
      <c r="A357" s="2" t="s">
        <v>33</v>
      </c>
      <c r="B357" s="5" t="s">
        <v>86</v>
      </c>
      <c r="C357" s="18"/>
      <c r="D357" s="18"/>
      <c r="E357" s="2" t="s">
        <v>322</v>
      </c>
      <c r="F357" s="1">
        <v>89</v>
      </c>
      <c r="G357" s="3">
        <v>46184</v>
      </c>
      <c r="H357" s="3"/>
      <c r="I357" s="3">
        <v>46191</v>
      </c>
      <c r="J357" s="1">
        <v>7</v>
      </c>
      <c r="K357" s="1">
        <v>0</v>
      </c>
      <c r="L357" s="1">
        <v>168</v>
      </c>
      <c r="M357" s="1">
        <v>228</v>
      </c>
      <c r="N357" s="1">
        <v>90</v>
      </c>
      <c r="O357" s="1">
        <v>19</v>
      </c>
      <c r="P357" s="1">
        <v>506</v>
      </c>
      <c r="Q357" s="2" t="s">
        <v>109</v>
      </c>
      <c r="R357" s="6" t="s">
        <v>323</v>
      </c>
      <c r="S357" s="2" t="s">
        <v>25</v>
      </c>
      <c r="T357" s="3"/>
      <c r="V357" s="3"/>
      <c r="W357" s="2" t="s">
        <v>95</v>
      </c>
    </row>
    <row r="358" spans="1:23" ht="41.25" customHeight="1" x14ac:dyDescent="0.25">
      <c r="A358" s="2" t="s">
        <v>33</v>
      </c>
      <c r="B358" s="5" t="s">
        <v>86</v>
      </c>
      <c r="C358" s="18"/>
      <c r="D358" s="18"/>
      <c r="E358" s="2" t="s">
        <v>1548</v>
      </c>
      <c r="F358" s="1">
        <v>12</v>
      </c>
      <c r="G358" s="3">
        <v>46191</v>
      </c>
      <c r="H358" s="3"/>
      <c r="I358" s="3">
        <v>46195</v>
      </c>
      <c r="J358" s="1">
        <v>4</v>
      </c>
      <c r="K358" s="1">
        <v>0</v>
      </c>
      <c r="L358" s="1">
        <v>96</v>
      </c>
      <c r="M358" s="1">
        <v>637</v>
      </c>
      <c r="N358" s="1">
        <v>13</v>
      </c>
      <c r="O358" s="1">
        <v>0</v>
      </c>
      <c r="P358" s="1">
        <v>324</v>
      </c>
      <c r="Q358" s="2" t="s">
        <v>109</v>
      </c>
      <c r="R358" s="6" t="s">
        <v>93</v>
      </c>
      <c r="S358" s="2" t="s">
        <v>25</v>
      </c>
      <c r="T358" s="3"/>
      <c r="V358" s="3"/>
      <c r="W358" s="2" t="s">
        <v>95</v>
      </c>
    </row>
    <row r="359" spans="1:23" ht="41.25" customHeight="1" x14ac:dyDescent="0.25">
      <c r="A359" s="2" t="s">
        <v>33</v>
      </c>
      <c r="B359" s="5" t="s">
        <v>86</v>
      </c>
      <c r="C359" s="18"/>
      <c r="D359" s="18"/>
      <c r="E359" s="2" t="s">
        <v>1376</v>
      </c>
      <c r="F359" s="1">
        <v>15</v>
      </c>
      <c r="G359" s="3">
        <v>46195</v>
      </c>
      <c r="H359" s="3"/>
      <c r="I359" s="3">
        <v>46199</v>
      </c>
      <c r="J359" s="1">
        <v>4</v>
      </c>
      <c r="K359" s="1">
        <v>0</v>
      </c>
      <c r="L359" s="1">
        <v>96</v>
      </c>
      <c r="M359" s="1">
        <v>31</v>
      </c>
      <c r="N359" s="1">
        <v>0</v>
      </c>
      <c r="O359" s="1">
        <v>0</v>
      </c>
      <c r="P359" s="1">
        <v>172</v>
      </c>
      <c r="Q359" s="2" t="s">
        <v>109</v>
      </c>
      <c r="R359" s="6" t="s">
        <v>93</v>
      </c>
      <c r="S359" s="2" t="s">
        <v>25</v>
      </c>
      <c r="T359" s="3"/>
      <c r="V359" s="3"/>
      <c r="W359" s="2" t="s">
        <v>95</v>
      </c>
    </row>
    <row r="360" spans="1:23" ht="41.25" customHeight="1" x14ac:dyDescent="0.25">
      <c r="A360" s="2" t="s">
        <v>33</v>
      </c>
      <c r="B360" s="5" t="s">
        <v>86</v>
      </c>
      <c r="C360" s="18" t="s">
        <v>46</v>
      </c>
      <c r="D360" s="18"/>
      <c r="E360" s="2" t="s">
        <v>187</v>
      </c>
      <c r="F360" s="1">
        <v>46</v>
      </c>
      <c r="G360" s="3">
        <v>46199</v>
      </c>
      <c r="H360" s="3"/>
      <c r="I360" s="3">
        <v>46213</v>
      </c>
      <c r="J360" s="1">
        <v>14</v>
      </c>
      <c r="K360" s="1">
        <v>0</v>
      </c>
      <c r="L360" s="1">
        <v>336</v>
      </c>
      <c r="M360" s="1">
        <v>300</v>
      </c>
      <c r="N360" s="1">
        <v>0</v>
      </c>
      <c r="O360" s="1">
        <v>0</v>
      </c>
      <c r="P360" s="1">
        <v>0</v>
      </c>
      <c r="Q360" s="2" t="s">
        <v>83</v>
      </c>
      <c r="R360" s="6" t="s">
        <v>1177</v>
      </c>
      <c r="S360" s="2" t="s">
        <v>1311</v>
      </c>
      <c r="T360" s="3">
        <v>46194</v>
      </c>
      <c r="U360" s="1">
        <v>1</v>
      </c>
      <c r="V360" s="3">
        <v>46196</v>
      </c>
      <c r="W360" s="2" t="s">
        <v>28</v>
      </c>
    </row>
    <row r="361" spans="1:23" ht="41.25" customHeight="1" x14ac:dyDescent="0.25">
      <c r="A361" s="2" t="s">
        <v>33</v>
      </c>
      <c r="B361" s="5" t="s">
        <v>86</v>
      </c>
      <c r="C361" s="18"/>
      <c r="D361" s="18"/>
      <c r="E361" s="2" t="s">
        <v>296</v>
      </c>
      <c r="F361" s="1">
        <v>44</v>
      </c>
      <c r="G361" s="3">
        <v>46213</v>
      </c>
      <c r="H361" s="3"/>
      <c r="I361" s="3">
        <v>46223</v>
      </c>
      <c r="J361" s="1">
        <v>10</v>
      </c>
      <c r="K361" s="1">
        <v>0</v>
      </c>
      <c r="L361" s="1">
        <v>240</v>
      </c>
      <c r="M361" s="1">
        <v>33</v>
      </c>
      <c r="N361" s="1">
        <v>49</v>
      </c>
      <c r="O361" s="1">
        <v>14</v>
      </c>
      <c r="P361" s="1">
        <v>441</v>
      </c>
      <c r="Q361" s="2" t="s">
        <v>84</v>
      </c>
      <c r="R361" s="6" t="s">
        <v>179</v>
      </c>
      <c r="S361" s="2" t="s">
        <v>1324</v>
      </c>
      <c r="T361" s="3"/>
      <c r="V361" s="3"/>
      <c r="W361" s="2" t="s">
        <v>27</v>
      </c>
    </row>
    <row r="362" spans="1:23" ht="41.25" customHeight="1" x14ac:dyDescent="0.25">
      <c r="A362" s="2" t="s">
        <v>33</v>
      </c>
      <c r="B362" s="5" t="s">
        <v>86</v>
      </c>
      <c r="C362" s="18"/>
      <c r="D362" s="18" t="s">
        <v>1182</v>
      </c>
      <c r="E362" s="2" t="s">
        <v>363</v>
      </c>
      <c r="F362" s="1">
        <v>12</v>
      </c>
      <c r="G362" s="3">
        <v>46223</v>
      </c>
      <c r="H362" s="3"/>
      <c r="I362" s="3">
        <v>46233</v>
      </c>
      <c r="J362" s="1">
        <v>10</v>
      </c>
      <c r="K362" s="1">
        <v>0</v>
      </c>
      <c r="L362" s="1">
        <v>240</v>
      </c>
      <c r="M362" s="1">
        <v>252</v>
      </c>
      <c r="N362" s="1">
        <v>1</v>
      </c>
      <c r="O362" s="1">
        <v>201</v>
      </c>
      <c r="P362" s="1">
        <v>350</v>
      </c>
      <c r="Q362" s="2" t="s">
        <v>83</v>
      </c>
      <c r="R362" s="6" t="s">
        <v>1183</v>
      </c>
      <c r="S362" s="2" t="s">
        <v>1365</v>
      </c>
      <c r="T362" s="3"/>
      <c r="V362" s="3"/>
      <c r="W362" s="2" t="s">
        <v>25</v>
      </c>
    </row>
    <row r="363" spans="1:23" ht="41.25" customHeight="1" x14ac:dyDescent="0.25">
      <c r="A363" s="2" t="s">
        <v>33</v>
      </c>
      <c r="B363" s="5" t="s">
        <v>87</v>
      </c>
      <c r="C363" s="18" t="s">
        <v>23</v>
      </c>
      <c r="D363" s="18" t="s">
        <v>41</v>
      </c>
      <c r="E363" s="2" t="s">
        <v>297</v>
      </c>
      <c r="F363" s="1">
        <v>89</v>
      </c>
      <c r="G363" s="3">
        <v>46129</v>
      </c>
      <c r="H363" s="3"/>
      <c r="I363" s="3">
        <v>46137</v>
      </c>
      <c r="J363" s="1">
        <v>8</v>
      </c>
      <c r="K363" s="1">
        <v>0</v>
      </c>
      <c r="L363" s="1">
        <v>192</v>
      </c>
      <c r="M363" s="1">
        <v>60</v>
      </c>
      <c r="N363" s="1">
        <v>67</v>
      </c>
      <c r="O363" s="1">
        <v>20</v>
      </c>
      <c r="P363" s="1">
        <v>165800</v>
      </c>
      <c r="Q363" s="2" t="s">
        <v>48</v>
      </c>
      <c r="R363" s="6" t="s">
        <v>139</v>
      </c>
      <c r="S363" s="2" t="s">
        <v>1352</v>
      </c>
      <c r="T363" s="3">
        <v>46087</v>
      </c>
      <c r="U363" s="1">
        <v>3</v>
      </c>
      <c r="V363" s="3">
        <v>46092</v>
      </c>
      <c r="W363" s="2" t="s">
        <v>1258</v>
      </c>
    </row>
    <row r="364" spans="1:23" ht="41.25" customHeight="1" x14ac:dyDescent="0.25">
      <c r="A364" s="2" t="s">
        <v>33</v>
      </c>
      <c r="B364" s="5" t="s">
        <v>87</v>
      </c>
      <c r="C364" s="18" t="s">
        <v>46</v>
      </c>
      <c r="D364" s="18" t="s">
        <v>1441</v>
      </c>
      <c r="E364" s="2" t="s">
        <v>1167</v>
      </c>
      <c r="F364" s="1">
        <v>89</v>
      </c>
      <c r="G364" s="3">
        <v>46137</v>
      </c>
      <c r="H364" s="3"/>
      <c r="I364" s="3">
        <v>46144</v>
      </c>
      <c r="J364" s="1">
        <v>7</v>
      </c>
      <c r="K364" s="1">
        <v>0</v>
      </c>
      <c r="L364" s="1">
        <v>168</v>
      </c>
      <c r="M364" s="1">
        <v>1092000</v>
      </c>
      <c r="N364" s="1">
        <v>0</v>
      </c>
      <c r="O364" s="1">
        <v>164</v>
      </c>
      <c r="P364" s="1">
        <v>0</v>
      </c>
      <c r="Q364" s="2" t="s">
        <v>48</v>
      </c>
      <c r="R364" s="6" t="s">
        <v>217</v>
      </c>
      <c r="S364" s="2" t="s">
        <v>1333</v>
      </c>
      <c r="T364" s="3">
        <v>46104</v>
      </c>
      <c r="U364" s="1">
        <v>2</v>
      </c>
      <c r="V364" s="3">
        <v>46107</v>
      </c>
      <c r="W364" s="2" t="s">
        <v>1258</v>
      </c>
    </row>
    <row r="365" spans="1:23" ht="41.25" customHeight="1" x14ac:dyDescent="0.25">
      <c r="A365" s="2" t="s">
        <v>33</v>
      </c>
      <c r="B365" s="5" t="s">
        <v>87</v>
      </c>
      <c r="C365" s="18" t="s">
        <v>46</v>
      </c>
      <c r="D365" s="18" t="s">
        <v>33</v>
      </c>
      <c r="E365" s="2" t="s">
        <v>201</v>
      </c>
      <c r="F365" s="1">
        <v>50</v>
      </c>
      <c r="G365" s="3">
        <v>46144</v>
      </c>
      <c r="H365" s="3"/>
      <c r="I365" s="3">
        <v>46154</v>
      </c>
      <c r="J365" s="1">
        <v>10</v>
      </c>
      <c r="K365" s="1">
        <v>0</v>
      </c>
      <c r="L365" s="1">
        <v>240</v>
      </c>
      <c r="M365" s="1">
        <v>298</v>
      </c>
      <c r="N365" s="1">
        <v>10</v>
      </c>
      <c r="O365" s="1">
        <v>218</v>
      </c>
      <c r="P365" s="1">
        <v>400</v>
      </c>
      <c r="Q365" s="2" t="s">
        <v>48</v>
      </c>
      <c r="R365" s="6" t="s">
        <v>139</v>
      </c>
      <c r="S365" s="2" t="s">
        <v>1312</v>
      </c>
      <c r="T365" s="3">
        <v>46102</v>
      </c>
      <c r="U365" s="1">
        <v>1</v>
      </c>
      <c r="V365" s="3">
        <v>46103</v>
      </c>
      <c r="W365" s="2" t="s">
        <v>28</v>
      </c>
    </row>
    <row r="366" spans="1:23" ht="41.25" customHeight="1" x14ac:dyDescent="0.25">
      <c r="A366" s="2" t="s">
        <v>33</v>
      </c>
      <c r="B366" s="5" t="s">
        <v>87</v>
      </c>
      <c r="C366" s="18"/>
      <c r="D366" s="18" t="s">
        <v>119</v>
      </c>
      <c r="E366" s="2" t="s">
        <v>1134</v>
      </c>
      <c r="F366" s="1">
        <v>50</v>
      </c>
      <c r="G366" s="3">
        <v>46154</v>
      </c>
      <c r="H366" s="3"/>
      <c r="I366" s="3">
        <v>46164</v>
      </c>
      <c r="J366" s="1">
        <v>10</v>
      </c>
      <c r="K366" s="1">
        <v>0</v>
      </c>
      <c r="L366" s="1">
        <v>240</v>
      </c>
      <c r="M366" s="1">
        <v>273</v>
      </c>
      <c r="N366" s="1">
        <v>30</v>
      </c>
      <c r="O366" s="1">
        <v>155</v>
      </c>
      <c r="P366" s="1">
        <v>320</v>
      </c>
      <c r="Q366" s="2" t="s">
        <v>48</v>
      </c>
      <c r="R366" s="6" t="s">
        <v>139</v>
      </c>
      <c r="S366" s="2" t="s">
        <v>1313</v>
      </c>
      <c r="T366" s="3">
        <v>46164</v>
      </c>
      <c r="U366" s="1">
        <v>2</v>
      </c>
      <c r="V366" s="3">
        <v>46170</v>
      </c>
      <c r="W366" s="2" t="s">
        <v>27</v>
      </c>
    </row>
    <row r="367" spans="1:23" ht="41.25" customHeight="1" x14ac:dyDescent="0.25">
      <c r="A367" s="2" t="s">
        <v>33</v>
      </c>
      <c r="B367" s="5" t="s">
        <v>87</v>
      </c>
      <c r="C367" s="18"/>
      <c r="D367" s="18" t="s">
        <v>119</v>
      </c>
      <c r="E367" s="2" t="s">
        <v>117</v>
      </c>
      <c r="F367" s="1">
        <v>15</v>
      </c>
      <c r="G367" s="3">
        <v>46164</v>
      </c>
      <c r="H367" s="3"/>
      <c r="I367" s="3">
        <v>46174</v>
      </c>
      <c r="J367" s="1">
        <v>10</v>
      </c>
      <c r="K367" s="1">
        <v>0</v>
      </c>
      <c r="L367" s="1">
        <v>240</v>
      </c>
      <c r="M367" s="1">
        <v>250</v>
      </c>
      <c r="N367" s="1">
        <v>0</v>
      </c>
      <c r="O367" s="1">
        <v>205</v>
      </c>
      <c r="P367" s="1">
        <v>0</v>
      </c>
      <c r="Q367" s="2" t="s">
        <v>62</v>
      </c>
      <c r="R367" s="6" t="s">
        <v>139</v>
      </c>
      <c r="S367" s="2" t="s">
        <v>25</v>
      </c>
      <c r="T367" s="3">
        <v>46145</v>
      </c>
      <c r="U367" s="1">
        <v>3</v>
      </c>
      <c r="V367" s="3">
        <v>46162</v>
      </c>
      <c r="W367" s="2" t="s">
        <v>28</v>
      </c>
    </row>
    <row r="368" spans="1:23" ht="41.25" customHeight="1" x14ac:dyDescent="0.25">
      <c r="A368" s="2" t="s">
        <v>33</v>
      </c>
      <c r="B368" s="5" t="s">
        <v>87</v>
      </c>
      <c r="C368" s="18"/>
      <c r="D368" s="18" t="s">
        <v>119</v>
      </c>
      <c r="E368" s="2" t="s">
        <v>1226</v>
      </c>
      <c r="F368" s="1">
        <v>76</v>
      </c>
      <c r="G368" s="3">
        <v>46174</v>
      </c>
      <c r="H368" s="3"/>
      <c r="I368" s="3">
        <v>46184</v>
      </c>
      <c r="J368" s="1">
        <v>10</v>
      </c>
      <c r="K368" s="1">
        <v>0</v>
      </c>
      <c r="L368" s="1">
        <v>240</v>
      </c>
      <c r="M368" s="1">
        <v>553</v>
      </c>
      <c r="N368" s="1">
        <v>20</v>
      </c>
      <c r="O368" s="1">
        <v>367</v>
      </c>
      <c r="P368" s="1">
        <v>400</v>
      </c>
      <c r="Q368" s="2" t="s">
        <v>48</v>
      </c>
      <c r="R368" s="6" t="s">
        <v>139</v>
      </c>
      <c r="S368" s="2" t="s">
        <v>1341</v>
      </c>
      <c r="T368" s="3">
        <v>46153</v>
      </c>
      <c r="U368" s="1">
        <v>6</v>
      </c>
      <c r="V368" s="3">
        <v>46167</v>
      </c>
      <c r="W368" s="2" t="s">
        <v>27</v>
      </c>
    </row>
    <row r="369" spans="1:23" ht="41.25" customHeight="1" x14ac:dyDescent="0.25">
      <c r="A369" s="2" t="s">
        <v>33</v>
      </c>
      <c r="B369" s="5" t="s">
        <v>86</v>
      </c>
      <c r="C369" s="18"/>
      <c r="D369" s="18"/>
      <c r="E369" s="2" t="s">
        <v>121</v>
      </c>
      <c r="F369" s="1">
        <v>84</v>
      </c>
      <c r="G369" s="3">
        <v>46184</v>
      </c>
      <c r="H369" s="3"/>
      <c r="I369" s="3">
        <v>46194</v>
      </c>
      <c r="J369" s="1">
        <v>10</v>
      </c>
      <c r="K369" s="1">
        <v>0</v>
      </c>
      <c r="L369" s="1">
        <v>240</v>
      </c>
      <c r="M369" s="1">
        <v>243</v>
      </c>
      <c r="N369" s="1">
        <v>60</v>
      </c>
      <c r="O369" s="1">
        <v>79</v>
      </c>
      <c r="P369" s="1">
        <v>330</v>
      </c>
      <c r="Q369" s="2" t="s">
        <v>154</v>
      </c>
      <c r="R369" s="6" t="s">
        <v>1549</v>
      </c>
      <c r="S369" s="2" t="s">
        <v>1492</v>
      </c>
      <c r="T369" s="3"/>
      <c r="V369" s="3"/>
      <c r="W369" s="2" t="s">
        <v>25</v>
      </c>
    </row>
    <row r="370" spans="1:23" ht="41.25" customHeight="1" x14ac:dyDescent="0.25">
      <c r="A370" s="2" t="s">
        <v>33</v>
      </c>
      <c r="B370" s="5" t="s">
        <v>88</v>
      </c>
      <c r="C370" s="18" t="s">
        <v>23</v>
      </c>
      <c r="D370" s="18" t="s">
        <v>41</v>
      </c>
      <c r="E370" s="2" t="s">
        <v>1148</v>
      </c>
      <c r="F370" s="1">
        <v>12</v>
      </c>
      <c r="G370" s="3">
        <v>46131</v>
      </c>
      <c r="H370" s="3"/>
      <c r="I370" s="3">
        <v>46138</v>
      </c>
      <c r="J370" s="1">
        <v>7</v>
      </c>
      <c r="K370" s="1">
        <v>0</v>
      </c>
      <c r="L370" s="1">
        <v>168</v>
      </c>
      <c r="M370" s="1">
        <v>253</v>
      </c>
      <c r="N370" s="1">
        <v>1</v>
      </c>
      <c r="O370" s="1">
        <v>202</v>
      </c>
      <c r="P370" s="1">
        <v>320</v>
      </c>
      <c r="Q370" s="2" t="s">
        <v>272</v>
      </c>
      <c r="R370" s="6" t="s">
        <v>139</v>
      </c>
      <c r="S370" s="2" t="s">
        <v>1367</v>
      </c>
      <c r="T370" s="3">
        <v>46114</v>
      </c>
      <c r="U370" s="1">
        <v>3</v>
      </c>
      <c r="V370" s="3">
        <v>46130</v>
      </c>
      <c r="W370" s="2" t="s">
        <v>27</v>
      </c>
    </row>
    <row r="371" spans="1:23" ht="41.25" customHeight="1" x14ac:dyDescent="0.25">
      <c r="A371" s="2" t="s">
        <v>33</v>
      </c>
      <c r="B371" s="5" t="s">
        <v>88</v>
      </c>
      <c r="C371" s="18" t="s">
        <v>46</v>
      </c>
      <c r="D371" s="18" t="s">
        <v>1469</v>
      </c>
      <c r="E371" s="2" t="s">
        <v>1442</v>
      </c>
      <c r="F371" s="1">
        <v>12</v>
      </c>
      <c r="G371" s="3">
        <v>46138</v>
      </c>
      <c r="H371" s="3"/>
      <c r="I371" s="3">
        <v>46148</v>
      </c>
      <c r="J371" s="1">
        <v>10</v>
      </c>
      <c r="K371" s="1">
        <v>0</v>
      </c>
      <c r="L371" s="1">
        <v>240</v>
      </c>
      <c r="M371" s="1">
        <v>267</v>
      </c>
      <c r="N371" s="1">
        <v>20</v>
      </c>
      <c r="O371" s="1">
        <v>173</v>
      </c>
      <c r="P371" s="1">
        <v>320</v>
      </c>
      <c r="Q371" s="2" t="s">
        <v>272</v>
      </c>
      <c r="R371" s="6" t="s">
        <v>1443</v>
      </c>
      <c r="S371" s="2" t="s">
        <v>1344</v>
      </c>
      <c r="T371" s="3"/>
      <c r="V371" s="3"/>
      <c r="W371" s="2" t="s">
        <v>29</v>
      </c>
    </row>
    <row r="372" spans="1:23" ht="41.25" customHeight="1" x14ac:dyDescent="0.25">
      <c r="A372" s="2" t="s">
        <v>33</v>
      </c>
      <c r="B372" s="5" t="s">
        <v>88</v>
      </c>
      <c r="C372" s="18" t="s">
        <v>46</v>
      </c>
      <c r="D372" s="18"/>
      <c r="E372" s="2" t="s">
        <v>1238</v>
      </c>
      <c r="F372" s="1">
        <v>179</v>
      </c>
      <c r="G372" s="3">
        <v>46148</v>
      </c>
      <c r="H372" s="3"/>
      <c r="I372" s="3">
        <v>46158</v>
      </c>
      <c r="J372" s="1">
        <v>10</v>
      </c>
      <c r="K372" s="1">
        <v>0</v>
      </c>
      <c r="L372" s="1">
        <v>240</v>
      </c>
      <c r="M372" s="1">
        <v>297</v>
      </c>
      <c r="N372" s="1">
        <v>10</v>
      </c>
      <c r="O372" s="1">
        <v>217</v>
      </c>
      <c r="P372" s="1">
        <v>320</v>
      </c>
      <c r="Q372" s="2" t="s">
        <v>48</v>
      </c>
      <c r="R372" s="6" t="s">
        <v>1197</v>
      </c>
      <c r="S372" s="2" t="s">
        <v>1342</v>
      </c>
      <c r="T372" s="3"/>
      <c r="V372" s="3"/>
      <c r="W372" s="2" t="s">
        <v>28</v>
      </c>
    </row>
    <row r="373" spans="1:23" ht="41.25" customHeight="1" x14ac:dyDescent="0.25">
      <c r="A373" s="2" t="s">
        <v>33</v>
      </c>
      <c r="B373" s="5" t="s">
        <v>88</v>
      </c>
      <c r="C373" s="18"/>
      <c r="D373" s="18" t="s">
        <v>119</v>
      </c>
      <c r="E373" s="2" t="s">
        <v>1205</v>
      </c>
      <c r="F373" s="1">
        <v>15</v>
      </c>
      <c r="G373" s="3">
        <v>46158</v>
      </c>
      <c r="H373" s="3"/>
      <c r="I373" s="3">
        <v>46168</v>
      </c>
      <c r="J373" s="1">
        <v>10</v>
      </c>
      <c r="K373" s="1">
        <v>0</v>
      </c>
      <c r="L373" s="1">
        <v>240</v>
      </c>
      <c r="M373" s="1">
        <v>205</v>
      </c>
      <c r="N373" s="1">
        <v>10</v>
      </c>
      <c r="O373" s="1">
        <v>149</v>
      </c>
      <c r="P373" s="1">
        <v>320</v>
      </c>
      <c r="Q373" s="2" t="s">
        <v>48</v>
      </c>
      <c r="R373" s="6" t="s">
        <v>217</v>
      </c>
      <c r="S373" s="2" t="s">
        <v>1368</v>
      </c>
      <c r="T373" s="3">
        <v>46131</v>
      </c>
      <c r="U373" s="1">
        <v>3</v>
      </c>
      <c r="V373" s="3">
        <v>46136</v>
      </c>
      <c r="W373" s="2" t="s">
        <v>28</v>
      </c>
    </row>
    <row r="374" spans="1:23" ht="41.25" customHeight="1" x14ac:dyDescent="0.25">
      <c r="A374" s="2" t="s">
        <v>33</v>
      </c>
      <c r="B374" s="5" t="s">
        <v>88</v>
      </c>
      <c r="C374" s="18"/>
      <c r="D374" s="18"/>
      <c r="E374" s="2" t="s">
        <v>1230</v>
      </c>
      <c r="F374" s="1">
        <v>333</v>
      </c>
      <c r="G374" s="3">
        <v>46168</v>
      </c>
      <c r="H374" s="3"/>
      <c r="I374" s="3">
        <v>46178</v>
      </c>
      <c r="J374" s="1">
        <v>10</v>
      </c>
      <c r="K374" s="1">
        <v>0</v>
      </c>
      <c r="L374" s="1">
        <v>240</v>
      </c>
      <c r="M374" s="1">
        <v>222</v>
      </c>
      <c r="N374" s="1">
        <v>30</v>
      </c>
      <c r="O374" s="1">
        <v>126</v>
      </c>
      <c r="P374" s="1">
        <v>320</v>
      </c>
      <c r="Q374" s="2" t="s">
        <v>57</v>
      </c>
      <c r="R374" s="6" t="s">
        <v>1253</v>
      </c>
      <c r="S374" s="2" t="s">
        <v>1328</v>
      </c>
      <c r="T374" s="3"/>
      <c r="V374" s="3"/>
      <c r="W374" s="2" t="s">
        <v>27</v>
      </c>
    </row>
    <row r="375" spans="1:23" ht="41.25" customHeight="1" x14ac:dyDescent="0.25">
      <c r="A375" s="2" t="s">
        <v>33</v>
      </c>
      <c r="B375" s="5" t="s">
        <v>88</v>
      </c>
      <c r="C375" s="18"/>
      <c r="D375" s="18"/>
      <c r="E375" s="2" t="s">
        <v>1254</v>
      </c>
      <c r="F375" s="1">
        <v>50</v>
      </c>
      <c r="G375" s="3">
        <v>46178</v>
      </c>
      <c r="H375" s="3"/>
      <c r="I375" s="3">
        <v>46188</v>
      </c>
      <c r="J375" s="1">
        <v>10</v>
      </c>
      <c r="K375" s="1">
        <v>0</v>
      </c>
      <c r="L375" s="1">
        <v>240</v>
      </c>
      <c r="M375" s="1">
        <v>254</v>
      </c>
      <c r="N375" s="1">
        <v>40</v>
      </c>
      <c r="O375" s="1">
        <v>124</v>
      </c>
      <c r="P375" s="1">
        <v>380</v>
      </c>
      <c r="Q375" s="2" t="s">
        <v>57</v>
      </c>
      <c r="R375" s="6" t="s">
        <v>1550</v>
      </c>
      <c r="S375" s="2" t="s">
        <v>1369</v>
      </c>
      <c r="T375" s="3"/>
      <c r="V375" s="3"/>
      <c r="W375" s="2" t="s">
        <v>27</v>
      </c>
    </row>
    <row r="376" spans="1:23" ht="41.25" customHeight="1" x14ac:dyDescent="0.25">
      <c r="A376" s="2" t="s">
        <v>33</v>
      </c>
      <c r="B376" s="5" t="s">
        <v>88</v>
      </c>
      <c r="C376" s="18"/>
      <c r="D376" s="18"/>
      <c r="E376" s="2" t="s">
        <v>1255</v>
      </c>
      <c r="F376" s="1">
        <v>88</v>
      </c>
      <c r="G376" s="3">
        <v>46188</v>
      </c>
      <c r="H376" s="3"/>
      <c r="I376" s="3">
        <v>46198</v>
      </c>
      <c r="J376" s="1">
        <v>10</v>
      </c>
      <c r="K376" s="1">
        <v>0</v>
      </c>
      <c r="L376" s="1">
        <v>240</v>
      </c>
      <c r="M376" s="1">
        <v>238</v>
      </c>
      <c r="N376" s="1">
        <v>20</v>
      </c>
      <c r="O376" s="1">
        <v>154</v>
      </c>
      <c r="P376" s="1">
        <v>320</v>
      </c>
      <c r="Q376" s="2" t="s">
        <v>48</v>
      </c>
      <c r="R376" s="6" t="s">
        <v>1197</v>
      </c>
      <c r="S376" s="2" t="s">
        <v>1370</v>
      </c>
      <c r="T376" s="3">
        <v>46173</v>
      </c>
      <c r="U376" s="1">
        <v>3</v>
      </c>
      <c r="V376" s="3">
        <v>46179</v>
      </c>
      <c r="W376" s="2" t="s">
        <v>27</v>
      </c>
    </row>
    <row r="377" spans="1:23" ht="41.25" customHeight="1" x14ac:dyDescent="0.25">
      <c r="A377" s="2" t="s">
        <v>33</v>
      </c>
      <c r="B377" s="5" t="s">
        <v>152</v>
      </c>
      <c r="C377" s="18" t="s">
        <v>23</v>
      </c>
      <c r="D377" s="18" t="s">
        <v>41</v>
      </c>
      <c r="E377" s="2" t="s">
        <v>1442</v>
      </c>
      <c r="F377" s="1">
        <v>12</v>
      </c>
      <c r="G377" s="3">
        <v>46129</v>
      </c>
      <c r="H377" s="3"/>
      <c r="I377" s="3">
        <v>46135</v>
      </c>
      <c r="J377" s="1">
        <v>6</v>
      </c>
      <c r="K377" s="1">
        <v>0</v>
      </c>
      <c r="L377" s="1">
        <v>144</v>
      </c>
      <c r="M377" s="1">
        <v>267</v>
      </c>
      <c r="N377" s="1">
        <v>20</v>
      </c>
      <c r="O377" s="1">
        <v>173</v>
      </c>
      <c r="P377" s="1">
        <v>320</v>
      </c>
      <c r="Q377" s="2" t="s">
        <v>48</v>
      </c>
      <c r="R377" s="6" t="s">
        <v>175</v>
      </c>
      <c r="S377" s="2" t="s">
        <v>1344</v>
      </c>
      <c r="T377" s="3"/>
      <c r="V377" s="3"/>
      <c r="W377" s="2" t="s">
        <v>29</v>
      </c>
    </row>
    <row r="378" spans="1:23" ht="41.25" customHeight="1" x14ac:dyDescent="0.25">
      <c r="A378" s="2" t="s">
        <v>33</v>
      </c>
      <c r="B378" s="5" t="s">
        <v>152</v>
      </c>
      <c r="C378" s="18" t="s">
        <v>23</v>
      </c>
      <c r="D378" s="18"/>
      <c r="E378" s="2" t="s">
        <v>1551</v>
      </c>
      <c r="F378" s="1">
        <v>6</v>
      </c>
      <c r="G378" s="3">
        <v>46135</v>
      </c>
      <c r="H378" s="3"/>
      <c r="I378" s="3">
        <v>46137</v>
      </c>
      <c r="J378" s="1">
        <v>2</v>
      </c>
      <c r="K378" s="1">
        <v>0</v>
      </c>
      <c r="L378" s="1">
        <v>48</v>
      </c>
      <c r="M378" s="1">
        <v>206</v>
      </c>
      <c r="N378" s="1">
        <v>40</v>
      </c>
      <c r="O378" s="1">
        <v>101</v>
      </c>
      <c r="P378" s="1">
        <v>213</v>
      </c>
      <c r="Q378" s="2" t="s">
        <v>103</v>
      </c>
      <c r="R378" s="6" t="s">
        <v>1552</v>
      </c>
      <c r="S378" s="2" t="s">
        <v>25</v>
      </c>
      <c r="T378" s="3"/>
      <c r="V378" s="3"/>
      <c r="W378" s="2" t="s">
        <v>95</v>
      </c>
    </row>
    <row r="379" spans="1:23" ht="41.25" customHeight="1" x14ac:dyDescent="0.25">
      <c r="A379" s="2" t="s">
        <v>33</v>
      </c>
      <c r="B379" s="5" t="s">
        <v>152</v>
      </c>
      <c r="C379" s="18" t="s">
        <v>23</v>
      </c>
      <c r="D379" s="18" t="s">
        <v>1553</v>
      </c>
      <c r="E379" s="2" t="s">
        <v>1238</v>
      </c>
      <c r="F379" s="1">
        <v>179</v>
      </c>
      <c r="G379" s="3">
        <v>46137</v>
      </c>
      <c r="H379" s="3"/>
      <c r="I379" s="3">
        <v>46141</v>
      </c>
      <c r="J379" s="1">
        <v>4</v>
      </c>
      <c r="K379" s="1">
        <v>0</v>
      </c>
      <c r="L379" s="1">
        <v>96</v>
      </c>
      <c r="M379" s="1">
        <v>297</v>
      </c>
      <c r="N379" s="1">
        <v>10</v>
      </c>
      <c r="O379" s="1">
        <v>217</v>
      </c>
      <c r="P379" s="1">
        <v>320</v>
      </c>
      <c r="Q379" s="2" t="s">
        <v>48</v>
      </c>
      <c r="R379" s="6" t="s">
        <v>175</v>
      </c>
      <c r="S379" s="2" t="s">
        <v>1342</v>
      </c>
      <c r="T379" s="3"/>
      <c r="V379" s="3"/>
      <c r="W379" s="2" t="s">
        <v>28</v>
      </c>
    </row>
    <row r="380" spans="1:23" ht="41.25" customHeight="1" x14ac:dyDescent="0.25">
      <c r="A380" s="2" t="s">
        <v>33</v>
      </c>
      <c r="B380" s="5" t="s">
        <v>152</v>
      </c>
      <c r="C380" s="18" t="s">
        <v>23</v>
      </c>
      <c r="D380" s="18"/>
      <c r="E380" s="2" t="s">
        <v>240</v>
      </c>
      <c r="F380" s="1">
        <v>170</v>
      </c>
      <c r="G380" s="3">
        <v>46141</v>
      </c>
      <c r="H380" s="3"/>
      <c r="I380" s="3">
        <v>46146</v>
      </c>
      <c r="J380" s="1">
        <v>5</v>
      </c>
      <c r="K380" s="1">
        <v>0</v>
      </c>
      <c r="L380" s="1">
        <v>120</v>
      </c>
      <c r="M380" s="1">
        <v>206</v>
      </c>
      <c r="N380" s="1">
        <v>40</v>
      </c>
      <c r="O380" s="1">
        <v>101</v>
      </c>
      <c r="P380" s="1">
        <v>320</v>
      </c>
      <c r="Q380" s="2" t="s">
        <v>57</v>
      </c>
      <c r="R380" s="6" t="s">
        <v>1554</v>
      </c>
      <c r="S380" s="2" t="s">
        <v>1232</v>
      </c>
      <c r="T380" s="3"/>
      <c r="V380" s="3"/>
      <c r="W380" s="2" t="s">
        <v>27</v>
      </c>
    </row>
    <row r="381" spans="1:23" ht="41.25" customHeight="1" x14ac:dyDescent="0.25">
      <c r="A381" s="2" t="s">
        <v>33</v>
      </c>
      <c r="B381" s="5" t="s">
        <v>152</v>
      </c>
      <c r="C381" s="18"/>
      <c r="D381" s="18" t="s">
        <v>1555</v>
      </c>
      <c r="E381" s="2" t="s">
        <v>1556</v>
      </c>
      <c r="F381" s="1">
        <v>5</v>
      </c>
      <c r="G381" s="3">
        <v>46146</v>
      </c>
      <c r="H381" s="3"/>
      <c r="I381" s="3">
        <v>46151</v>
      </c>
      <c r="J381" s="1">
        <v>5</v>
      </c>
      <c r="K381" s="1">
        <v>0</v>
      </c>
      <c r="L381" s="1">
        <v>120</v>
      </c>
      <c r="M381" s="1">
        <v>261</v>
      </c>
      <c r="N381" s="1">
        <v>1</v>
      </c>
      <c r="O381" s="1">
        <v>208</v>
      </c>
      <c r="P381" s="1">
        <v>320</v>
      </c>
      <c r="Q381" s="2" t="s">
        <v>57</v>
      </c>
      <c r="R381" s="6" t="s">
        <v>1554</v>
      </c>
      <c r="S381" s="2" t="s">
        <v>1557</v>
      </c>
      <c r="T381" s="3"/>
      <c r="V381" s="3"/>
      <c r="W381" s="2" t="s">
        <v>29</v>
      </c>
    </row>
    <row r="382" spans="1:23" ht="41.25" customHeight="1" x14ac:dyDescent="0.25">
      <c r="A382" s="2" t="s">
        <v>33</v>
      </c>
      <c r="B382" s="5" t="s">
        <v>152</v>
      </c>
      <c r="C382" s="18"/>
      <c r="D382" s="18" t="s">
        <v>1555</v>
      </c>
      <c r="E382" s="2" t="s">
        <v>1254</v>
      </c>
      <c r="F382" s="1">
        <v>50</v>
      </c>
      <c r="G382" s="3">
        <v>46151</v>
      </c>
      <c r="H382" s="3"/>
      <c r="I382" s="3">
        <v>46156</v>
      </c>
      <c r="J382" s="1">
        <v>5</v>
      </c>
      <c r="K382" s="1">
        <v>0</v>
      </c>
      <c r="L382" s="1">
        <v>120</v>
      </c>
      <c r="M382" s="1">
        <v>254</v>
      </c>
      <c r="N382" s="1">
        <v>40</v>
      </c>
      <c r="O382" s="1">
        <v>124</v>
      </c>
      <c r="P382" s="1">
        <v>380</v>
      </c>
      <c r="Q382" s="2" t="s">
        <v>57</v>
      </c>
      <c r="R382" s="6" t="s">
        <v>1554</v>
      </c>
      <c r="S382" s="2" t="s">
        <v>1369</v>
      </c>
      <c r="T382" s="3"/>
      <c r="V382" s="3"/>
      <c r="W382" s="2" t="s">
        <v>27</v>
      </c>
    </row>
    <row r="383" spans="1:23" ht="41.25" customHeight="1" x14ac:dyDescent="0.25">
      <c r="A383" s="2" t="s">
        <v>33</v>
      </c>
      <c r="B383" s="5" t="s">
        <v>152</v>
      </c>
      <c r="C383" s="18" t="s">
        <v>46</v>
      </c>
      <c r="D383" s="18" t="s">
        <v>1558</v>
      </c>
      <c r="E383" s="2" t="s">
        <v>1559</v>
      </c>
      <c r="F383" s="1">
        <v>5</v>
      </c>
      <c r="G383" s="3">
        <v>46156</v>
      </c>
      <c r="H383" s="3"/>
      <c r="I383" s="3">
        <v>46161</v>
      </c>
      <c r="J383" s="1">
        <v>5</v>
      </c>
      <c r="K383" s="1">
        <v>0</v>
      </c>
      <c r="L383" s="1">
        <v>120</v>
      </c>
      <c r="M383" s="1">
        <v>257</v>
      </c>
      <c r="N383" s="1">
        <v>1</v>
      </c>
      <c r="O383" s="1">
        <v>205</v>
      </c>
      <c r="P383" s="1">
        <v>320</v>
      </c>
      <c r="Q383" s="2" t="s">
        <v>57</v>
      </c>
      <c r="R383" s="6" t="s">
        <v>1554</v>
      </c>
      <c r="S383" s="2" t="s">
        <v>1560</v>
      </c>
      <c r="T383" s="3"/>
      <c r="V383" s="3"/>
      <c r="W383" s="2" t="s">
        <v>28</v>
      </c>
    </row>
    <row r="384" spans="1:23" ht="41.25" customHeight="1" x14ac:dyDescent="0.25">
      <c r="A384" s="2" t="s">
        <v>33</v>
      </c>
      <c r="B384" s="5" t="s">
        <v>152</v>
      </c>
      <c r="C384" s="18"/>
      <c r="D384" s="18"/>
      <c r="E384" s="2" t="s">
        <v>1211</v>
      </c>
      <c r="G384" s="3">
        <v>46161</v>
      </c>
      <c r="H384" s="3"/>
      <c r="I384" s="3">
        <v>46173</v>
      </c>
      <c r="J384" s="1">
        <v>12</v>
      </c>
      <c r="K384" s="1">
        <v>0</v>
      </c>
      <c r="L384" s="1">
        <v>288</v>
      </c>
      <c r="M384" s="1">
        <v>1000</v>
      </c>
      <c r="N384" s="1">
        <v>0</v>
      </c>
      <c r="O384" s="1">
        <v>0</v>
      </c>
      <c r="Q384" s="2" t="s">
        <v>125</v>
      </c>
      <c r="R384" s="6" t="s">
        <v>1561</v>
      </c>
      <c r="S384" s="2" t="s">
        <v>25</v>
      </c>
      <c r="T384" s="3"/>
      <c r="V384" s="3"/>
      <c r="W384" s="2" t="s">
        <v>95</v>
      </c>
    </row>
    <row r="385" spans="1:23" ht="41.25" customHeight="1" x14ac:dyDescent="0.25">
      <c r="A385" s="2" t="s">
        <v>33</v>
      </c>
      <c r="B385" s="5" t="s">
        <v>152</v>
      </c>
      <c r="C385" s="18"/>
      <c r="D385" s="18"/>
      <c r="E385" s="2" t="s">
        <v>1562</v>
      </c>
      <c r="F385" s="1">
        <v>179</v>
      </c>
      <c r="G385" s="3">
        <v>46173</v>
      </c>
      <c r="H385" s="3"/>
      <c r="I385" s="3">
        <v>46177</v>
      </c>
      <c r="J385" s="1">
        <v>4</v>
      </c>
      <c r="K385" s="1">
        <v>0</v>
      </c>
      <c r="L385" s="1">
        <v>96</v>
      </c>
      <c r="M385" s="1">
        <v>230</v>
      </c>
      <c r="N385" s="1">
        <v>60</v>
      </c>
      <c r="O385" s="1">
        <v>75</v>
      </c>
      <c r="P385" s="1">
        <v>320</v>
      </c>
      <c r="Q385" s="2" t="s">
        <v>48</v>
      </c>
      <c r="R385" s="6" t="s">
        <v>175</v>
      </c>
      <c r="S385" s="2" t="s">
        <v>1563</v>
      </c>
      <c r="T385" s="3"/>
      <c r="V385" s="3"/>
      <c r="W385" s="2" t="s">
        <v>27</v>
      </c>
    </row>
    <row r="386" spans="1:23" ht="41.25" customHeight="1" x14ac:dyDescent="0.25"/>
    <row r="387" spans="1:23" ht="41.25" customHeight="1" x14ac:dyDescent="0.25"/>
    <row r="388" spans="1:23" ht="41.25" customHeight="1" x14ac:dyDescent="0.25"/>
    <row r="389" spans="1:23" ht="41.25" customHeight="1" x14ac:dyDescent="0.25"/>
    <row r="390" spans="1:23" ht="41.25" customHeight="1" x14ac:dyDescent="0.25"/>
    <row r="391" spans="1:23" ht="41.25" customHeight="1" x14ac:dyDescent="0.25"/>
    <row r="392" spans="1:23" ht="41.25" customHeight="1" x14ac:dyDescent="0.25"/>
    <row r="393" spans="1:23" ht="41.25" customHeight="1" x14ac:dyDescent="0.25"/>
    <row r="394" spans="1:23" ht="41.25" customHeight="1" x14ac:dyDescent="0.25"/>
    <row r="395" spans="1:23" ht="41.25" customHeight="1" x14ac:dyDescent="0.25"/>
    <row r="396" spans="1:23" ht="41.25" customHeight="1" x14ac:dyDescent="0.25"/>
    <row r="397" spans="1:23" ht="41.25" customHeight="1" x14ac:dyDescent="0.25"/>
    <row r="398" spans="1:23" ht="41.25" customHeight="1" x14ac:dyDescent="0.25"/>
    <row r="399" spans="1:23" ht="41.25" customHeight="1" x14ac:dyDescent="0.25"/>
    <row r="400" spans="1:23" ht="41.25" customHeight="1" x14ac:dyDescent="0.25"/>
    <row r="401" ht="41.25" customHeight="1" x14ac:dyDescent="0.25"/>
    <row r="402" ht="41.25" customHeight="1" x14ac:dyDescent="0.25"/>
    <row r="403" ht="41.25" customHeight="1" x14ac:dyDescent="0.25"/>
    <row r="404" ht="41.25" customHeight="1" x14ac:dyDescent="0.25"/>
    <row r="405" ht="41.25" customHeight="1" x14ac:dyDescent="0.25"/>
    <row r="406" ht="41.25" customHeight="1" x14ac:dyDescent="0.25"/>
    <row r="407" ht="41.25" customHeight="1" x14ac:dyDescent="0.25"/>
    <row r="408" ht="41.25" customHeight="1" x14ac:dyDescent="0.25"/>
    <row r="409" ht="41.25" customHeight="1" x14ac:dyDescent="0.25"/>
    <row r="410" ht="41.25" customHeight="1" x14ac:dyDescent="0.25"/>
    <row r="411" ht="41.25" customHeight="1" x14ac:dyDescent="0.25"/>
    <row r="412" ht="38.25" customHeight="1" x14ac:dyDescent="0.25"/>
    <row r="413" ht="38.25" customHeight="1" x14ac:dyDescent="0.25"/>
    <row r="414" ht="38.25" customHeight="1" x14ac:dyDescent="0.25"/>
    <row r="415" ht="38.25" customHeight="1" x14ac:dyDescent="0.25"/>
    <row r="416" ht="38.25" customHeight="1" x14ac:dyDescent="0.25"/>
    <row r="417" ht="38.25" customHeight="1" x14ac:dyDescent="0.25"/>
    <row r="418" ht="38.25" customHeight="1" x14ac:dyDescent="0.25"/>
    <row r="419" ht="38.25" customHeight="1" x14ac:dyDescent="0.25"/>
    <row r="420" ht="38.25" customHeight="1" x14ac:dyDescent="0.25"/>
    <row r="421" ht="26.25" customHeight="1" x14ac:dyDescent="0.25"/>
    <row r="422" ht="26.25" customHeight="1" x14ac:dyDescent="0.25"/>
    <row r="423" ht="26.25" customHeight="1" x14ac:dyDescent="0.25"/>
    <row r="424" ht="26.25" customHeight="1" x14ac:dyDescent="0.25"/>
    <row r="425" ht="26.25" customHeight="1" x14ac:dyDescent="0.25"/>
    <row r="426" ht="26.25" customHeight="1" x14ac:dyDescent="0.25"/>
    <row r="427" ht="26.25" customHeight="1" x14ac:dyDescent="0.25"/>
    <row r="428" ht="26.25" customHeight="1" x14ac:dyDescent="0.25"/>
    <row r="429" ht="26.25" customHeight="1" x14ac:dyDescent="0.25"/>
  </sheetData>
  <conditionalFormatting sqref="A386:W438 A2:W364">
    <cfRule type="containsText" dxfId="32" priority="28" operator="containsText" text="выполняется">
      <formula>NOT(ISERROR(SEARCH("выполняется",A2)))</formula>
    </cfRule>
    <cfRule type="expression" dxfId="31" priority="29">
      <formula>$B2&lt;&gt;$B3</formula>
    </cfRule>
    <cfRule type="expression" dxfId="30" priority="30">
      <formula>$D2="выполняется"</formula>
    </cfRule>
    <cfRule type="containsText" dxfId="29" priority="37" operator="containsText" text="запуск бригады">
      <formula>NOT(ISERROR(SEARCH("запуск бригады",A2)))</formula>
    </cfRule>
  </conditionalFormatting>
  <conditionalFormatting sqref="A365:W385">
    <cfRule type="containsText" dxfId="28" priority="157" operator="containsText" text="выполняется">
      <formula>NOT(ISERROR(SEARCH("выполняется",A365)))</formula>
    </cfRule>
    <cfRule type="expression" dxfId="27" priority="158">
      <formula>$B365&lt;&gt;#REF!</formula>
    </cfRule>
    <cfRule type="expression" dxfId="26" priority="159">
      <formula>$D365="выполняется"</formula>
    </cfRule>
    <cfRule type="containsText" dxfId="25" priority="160" operator="containsText" text="запуск бригады">
      <formula>NOT(ISERROR(SEARCH("запуск бригады",A365)))</formula>
    </cfRule>
  </conditionalFormatting>
  <pageMargins left="0.25" right="0.25" top="0.75" bottom="0.75" header="0.3" footer="0.3"/>
  <pageSetup paperSize="8" scale="43" fitToHeight="0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51B93-FAC9-43D5-857D-3584A007F3B1}">
  <sheetPr codeName="Лист4">
    <pageSetUpPr fitToPage="1"/>
  </sheetPr>
  <dimension ref="A1:Z429"/>
  <sheetViews>
    <sheetView zoomScale="70" zoomScaleNormal="7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C5" sqref="C5"/>
    </sheetView>
  </sheetViews>
  <sheetFormatPr defaultRowHeight="15" x14ac:dyDescent="0.25"/>
  <cols>
    <col min="1" max="1" width="12.85546875" style="1" bestFit="1" customWidth="1"/>
    <col min="2" max="2" width="40.140625" style="1" bestFit="1" customWidth="1"/>
    <col min="3" max="3" width="21.85546875" style="1" customWidth="1"/>
    <col min="4" max="4" width="15.42578125" style="19" customWidth="1"/>
    <col min="5" max="5" width="14.28515625" style="1" customWidth="1"/>
    <col min="6" max="6" width="12.85546875" style="1" bestFit="1" customWidth="1"/>
    <col min="7" max="9" width="13" style="1" customWidth="1"/>
    <col min="10" max="10" width="10.85546875" style="1" customWidth="1"/>
    <col min="11" max="11" width="11.28515625" style="1" customWidth="1"/>
    <col min="12" max="12" width="23.28515625" style="1" customWidth="1"/>
    <col min="13" max="13" width="41.7109375" style="1" customWidth="1"/>
    <col min="14" max="18" width="11.85546875" style="1" customWidth="1"/>
    <col min="19" max="19" width="45.42578125" style="1" customWidth="1"/>
    <col min="20" max="20" width="13.28515625" style="1" bestFit="1" customWidth="1"/>
    <col min="21" max="21" width="15.28515625" style="1" customWidth="1"/>
    <col min="22" max="22" width="7.5703125" style="1" customWidth="1"/>
    <col min="23" max="23" width="14" style="1" customWidth="1"/>
    <col min="24" max="24" width="31.140625" style="1" customWidth="1"/>
    <col min="25" max="25" width="11.28515625" style="1" customWidth="1"/>
    <col min="26" max="26" width="19.5703125" style="1" bestFit="1" customWidth="1"/>
  </cols>
  <sheetData>
    <row r="1" spans="1:26" s="4" customFormat="1" ht="81.75" customHeight="1" x14ac:dyDescent="0.25">
      <c r="A1" s="16" t="s">
        <v>342</v>
      </c>
      <c r="B1" s="16" t="s">
        <v>1</v>
      </c>
      <c r="C1" s="16" t="s">
        <v>4</v>
      </c>
      <c r="D1" s="16" t="s">
        <v>5</v>
      </c>
      <c r="E1" s="16" t="s">
        <v>6</v>
      </c>
      <c r="F1" s="16" t="s">
        <v>8</v>
      </c>
      <c r="G1" s="16" t="s">
        <v>11</v>
      </c>
      <c r="H1" s="16" t="s">
        <v>12</v>
      </c>
      <c r="I1" s="16" t="s">
        <v>13</v>
      </c>
      <c r="J1" s="16" t="s">
        <v>14</v>
      </c>
      <c r="K1" s="16" t="s">
        <v>16</v>
      </c>
      <c r="L1" s="16" t="s">
        <v>17</v>
      </c>
      <c r="M1" s="16" t="s">
        <v>18</v>
      </c>
      <c r="N1" s="16" t="s">
        <v>19</v>
      </c>
      <c r="O1" s="16" t="s">
        <v>20</v>
      </c>
      <c r="P1" s="16" t="s">
        <v>21</v>
      </c>
    </row>
    <row r="2" spans="1:26" ht="44.25" hidden="1" customHeight="1" x14ac:dyDescent="1.35">
      <c r="A2" t="s">
        <v>343</v>
      </c>
      <c r="B2" s="5" t="s">
        <v>75</v>
      </c>
      <c r="C2" s="2" t="s">
        <v>199</v>
      </c>
      <c r="D2" s="1">
        <v>88</v>
      </c>
      <c r="E2" s="3">
        <v>46080</v>
      </c>
      <c r="F2" s="3">
        <v>46090</v>
      </c>
      <c r="G2" s="1">
        <v>240</v>
      </c>
      <c r="H2" s="1">
        <v>287</v>
      </c>
      <c r="I2" s="1">
        <v>35</v>
      </c>
      <c r="J2" s="1">
        <v>151</v>
      </c>
      <c r="K2" s="2" t="s">
        <v>48</v>
      </c>
      <c r="L2" s="6" t="s">
        <v>319</v>
      </c>
      <c r="M2" s="2" t="s">
        <v>286</v>
      </c>
      <c r="N2" s="3"/>
      <c r="P2" s="3"/>
      <c r="Q2"/>
      <c r="R2" s="20"/>
      <c r="S2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2" t="str">
        <f>_xlfn.XLOOKUP(Недельный_график_ТКРС[[#This Row],[Скв]],'Каталог мероприятий'!A:A,'Каталог мероприятий'!O:O,"нет карточки")</f>
        <v>Бригада КГРП</v>
      </c>
      <c r="U2" t="str">
        <f>_xlfn.XLOOKUP(Недельный_график_ТКРС[[#This Row],[Скв]],'Каталог мероприятий'!A:A,'Каталог мероприятий'!Q:Q)</f>
        <v>КР-ОС-8</v>
      </c>
      <c r="V2"/>
      <c r="W2"/>
      <c r="X2"/>
      <c r="Y2"/>
      <c r="Z2"/>
    </row>
    <row r="3" spans="1:26" ht="41.25" customHeight="1" x14ac:dyDescent="0.25">
      <c r="A3" t="s">
        <v>343</v>
      </c>
      <c r="B3" s="5" t="s">
        <v>74</v>
      </c>
      <c r="C3" s="23" t="s">
        <v>209</v>
      </c>
      <c r="D3" s="1">
        <v>16</v>
      </c>
      <c r="E3" s="3">
        <v>46074</v>
      </c>
      <c r="F3" s="3">
        <v>46094</v>
      </c>
      <c r="G3" s="1">
        <v>480</v>
      </c>
      <c r="H3" s="1">
        <v>240</v>
      </c>
      <c r="I3" s="1">
        <v>0</v>
      </c>
      <c r="J3" s="1">
        <v>0</v>
      </c>
      <c r="K3" s="2" t="s">
        <v>96</v>
      </c>
      <c r="L3" s="6" t="s">
        <v>160</v>
      </c>
      <c r="M3" s="2" t="s">
        <v>25</v>
      </c>
      <c r="N3" s="3"/>
      <c r="P3" s="3"/>
      <c r="Q3"/>
      <c r="R3"/>
      <c r="S3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3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3" t="e">
        <f>_xlfn.XLOOKUP(Недельный_график_ТКРС[[#This Row],[Скв]],'Каталог мероприятий'!A:A,'Каталог мероприятий'!Q:Q)</f>
        <v>#N/A</v>
      </c>
      <c r="V3"/>
      <c r="W3"/>
      <c r="X3"/>
      <c r="Y3"/>
      <c r="Z3"/>
    </row>
    <row r="4" spans="1:26" ht="41.25" customHeight="1" x14ac:dyDescent="0.25">
      <c r="A4" t="s">
        <v>343</v>
      </c>
      <c r="B4" s="5" t="s">
        <v>152</v>
      </c>
      <c r="C4" s="23" t="s">
        <v>304</v>
      </c>
      <c r="D4" s="1">
        <v>88</v>
      </c>
      <c r="E4" s="3">
        <v>46083</v>
      </c>
      <c r="F4" s="3">
        <v>46089</v>
      </c>
      <c r="G4" s="1">
        <v>144</v>
      </c>
      <c r="H4" s="1">
        <v>180</v>
      </c>
      <c r="I4" s="1">
        <v>70</v>
      </c>
      <c r="J4" s="1">
        <v>44</v>
      </c>
      <c r="K4" s="2" t="s">
        <v>103</v>
      </c>
      <c r="L4" s="6" t="s">
        <v>305</v>
      </c>
      <c r="M4" s="2" t="s">
        <v>25</v>
      </c>
      <c r="N4" s="3"/>
      <c r="P4" s="3"/>
      <c r="Q4"/>
      <c r="R4"/>
      <c r="S4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4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4" t="e">
        <f>_xlfn.XLOOKUP(Недельный_график_ТКРС[[#This Row],[Скв]],'Каталог мероприятий'!A:A,'Каталог мероприятий'!Q:Q)</f>
        <v>#N/A</v>
      </c>
      <c r="V4"/>
      <c r="W4"/>
      <c r="X4"/>
      <c r="Y4"/>
      <c r="Z4"/>
    </row>
    <row r="5" spans="1:26" ht="41.25" customHeight="1" x14ac:dyDescent="0.25">
      <c r="A5" t="s">
        <v>343</v>
      </c>
      <c r="B5" s="5" t="s">
        <v>88</v>
      </c>
      <c r="C5" s="23" t="s">
        <v>170</v>
      </c>
      <c r="D5" s="1">
        <v>15</v>
      </c>
      <c r="E5" s="3">
        <v>46083</v>
      </c>
      <c r="F5" s="3">
        <v>46093</v>
      </c>
      <c r="G5" s="1">
        <v>240</v>
      </c>
      <c r="H5" s="1">
        <v>221</v>
      </c>
      <c r="I5" s="1">
        <v>1</v>
      </c>
      <c r="J5" s="1">
        <v>177</v>
      </c>
      <c r="K5" s="2" t="s">
        <v>48</v>
      </c>
      <c r="L5" s="6" t="s">
        <v>139</v>
      </c>
      <c r="M5" s="2" t="s">
        <v>25</v>
      </c>
      <c r="N5" s="3">
        <v>46065</v>
      </c>
      <c r="O5" s="1">
        <v>4</v>
      </c>
      <c r="P5" s="3">
        <v>46074</v>
      </c>
      <c r="Q5"/>
      <c r="R5"/>
      <c r="S5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5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5" t="e">
        <f>_xlfn.XLOOKUP(Недельный_график_ТКРС[[#This Row],[Скв]],'Каталог мероприятий'!A:A,'Каталог мероприятий'!Q:Q)</f>
        <v>#N/A</v>
      </c>
      <c r="V5"/>
      <c r="W5"/>
      <c r="X5"/>
      <c r="Y5"/>
      <c r="Z5"/>
    </row>
    <row r="6" spans="1:26" ht="41.25" hidden="1" customHeight="1" x14ac:dyDescent="0.25">
      <c r="A6" t="s">
        <v>343</v>
      </c>
      <c r="B6" s="5" t="s">
        <v>85</v>
      </c>
      <c r="C6" s="2" t="s">
        <v>326</v>
      </c>
      <c r="D6" s="1">
        <v>87</v>
      </c>
      <c r="E6" s="3">
        <v>46083</v>
      </c>
      <c r="F6" s="3">
        <v>46086</v>
      </c>
      <c r="G6" s="1">
        <v>72</v>
      </c>
      <c r="H6" s="1">
        <v>383</v>
      </c>
      <c r="I6" s="1">
        <v>45</v>
      </c>
      <c r="J6" s="1">
        <v>173</v>
      </c>
      <c r="K6" s="2" t="s">
        <v>84</v>
      </c>
      <c r="L6" s="6" t="s">
        <v>93</v>
      </c>
      <c r="M6" s="2" t="s">
        <v>25</v>
      </c>
      <c r="N6" s="3"/>
      <c r="P6" s="3"/>
      <c r="Q6"/>
      <c r="R6"/>
      <c r="S6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6" t="str">
        <f>_xlfn.XLOOKUP(Недельный_график_ТКРС[[#This Row],[Скв]],'Каталог мероприятий'!A:A,'Каталог мероприятий'!O:O,"нет карточки")</f>
        <v>5</v>
      </c>
      <c r="U6" t="str">
        <f>_xlfn.XLOOKUP(Недельный_график_ТКРС[[#This Row],[Скв]],'Каталог мероприятий'!A:A,'Каталог мероприятий'!Q:Q)</f>
        <v>ТР13-2</v>
      </c>
      <c r="V6"/>
      <c r="W6"/>
      <c r="X6"/>
      <c r="Y6"/>
      <c r="Z6"/>
    </row>
    <row r="7" spans="1:26" ht="41.25" hidden="1" customHeight="1" x14ac:dyDescent="0.25">
      <c r="A7" t="s">
        <v>343</v>
      </c>
      <c r="B7" s="5" t="s">
        <v>66</v>
      </c>
      <c r="C7" s="2" t="s">
        <v>242</v>
      </c>
      <c r="D7" s="1">
        <v>51</v>
      </c>
      <c r="E7" s="3">
        <v>46080</v>
      </c>
      <c r="F7" s="3">
        <v>46110</v>
      </c>
      <c r="G7" s="1">
        <v>720</v>
      </c>
      <c r="H7" s="1">
        <v>321</v>
      </c>
      <c r="I7" s="1">
        <v>46</v>
      </c>
      <c r="J7" s="1">
        <v>185</v>
      </c>
      <c r="K7" s="2" t="s">
        <v>64</v>
      </c>
      <c r="L7" s="6" t="s">
        <v>352</v>
      </c>
      <c r="M7" s="2" t="s">
        <v>25</v>
      </c>
      <c r="N7" s="3"/>
      <c r="P7" s="3"/>
      <c r="Q7"/>
      <c r="R7"/>
      <c r="S7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7" t="str">
        <f>_xlfn.XLOOKUP(Недельный_график_ТКРС[[#This Row],[Скв]],'Каталог мероприятий'!A:A,'Каталог мероприятий'!O:O,"нет карточки")</f>
        <v>13</v>
      </c>
      <c r="U7" t="str">
        <f>_xlfn.XLOOKUP(Недельный_график_ТКРС[[#This Row],[Скв]],'Каталог мероприятий'!A:A,'Каталог мероприятий'!Q:Q)</f>
        <v>КР13-2</v>
      </c>
      <c r="V7"/>
      <c r="W7"/>
      <c r="X7"/>
      <c r="Y7"/>
      <c r="Z7"/>
    </row>
    <row r="8" spans="1:26" ht="41.25" hidden="1" customHeight="1" x14ac:dyDescent="0.25">
      <c r="A8" t="s">
        <v>343</v>
      </c>
      <c r="B8" s="5" t="s">
        <v>60</v>
      </c>
      <c r="C8" s="2" t="s">
        <v>176</v>
      </c>
      <c r="D8" s="1">
        <v>15</v>
      </c>
      <c r="E8" s="3">
        <v>46080</v>
      </c>
      <c r="F8" s="3">
        <v>46094</v>
      </c>
      <c r="G8" s="1">
        <v>336</v>
      </c>
      <c r="H8" s="1">
        <v>405</v>
      </c>
      <c r="I8" s="1">
        <v>0</v>
      </c>
      <c r="J8" s="1">
        <v>331</v>
      </c>
      <c r="K8" s="2" t="s">
        <v>157</v>
      </c>
      <c r="L8" s="6" t="s">
        <v>351</v>
      </c>
      <c r="M8" s="2" t="s">
        <v>25</v>
      </c>
      <c r="N8" s="3"/>
      <c r="P8" s="3"/>
      <c r="Q8"/>
      <c r="R8"/>
      <c r="S8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8" t="str">
        <f>_xlfn.XLOOKUP(Недельный_график_ТКРС[[#This Row],[Скв]],'Каталог мероприятий'!A:A,'Каталог мероприятий'!O:O,"нет карточки")</f>
        <v>5</v>
      </c>
      <c r="U8" t="str">
        <f>_xlfn.XLOOKUP(Недельный_график_ТКРС[[#This Row],[Скв]],'Каталог мероприятий'!A:A,'Каталог мероприятий'!Q:Q)</f>
        <v>ТР14-1.2</v>
      </c>
      <c r="V8"/>
      <c r="W8"/>
      <c r="X8"/>
      <c r="Y8"/>
      <c r="Z8"/>
    </row>
    <row r="9" spans="1:26" ht="41.25" customHeight="1" x14ac:dyDescent="0.25">
      <c r="A9" t="s">
        <v>343</v>
      </c>
      <c r="B9" s="5" t="s">
        <v>60</v>
      </c>
      <c r="C9" s="23" t="s">
        <v>207</v>
      </c>
      <c r="D9" s="1">
        <v>89</v>
      </c>
      <c r="E9" s="3">
        <v>46076</v>
      </c>
      <c r="F9" s="3">
        <v>46080</v>
      </c>
      <c r="G9" s="1">
        <v>96</v>
      </c>
      <c r="H9" s="1">
        <v>200</v>
      </c>
      <c r="I9" s="1">
        <v>0</v>
      </c>
      <c r="J9" s="1">
        <v>0</v>
      </c>
      <c r="K9" s="2" t="s">
        <v>53</v>
      </c>
      <c r="L9" s="6" t="s">
        <v>208</v>
      </c>
      <c r="M9" s="2" t="s">
        <v>25</v>
      </c>
      <c r="N9" s="3"/>
      <c r="P9" s="3"/>
      <c r="Q9"/>
      <c r="R9"/>
      <c r="S9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9">
        <f>_xlfn.XLOOKUP(Недельный_график_ТКРС[[#This Row],[Скв]],'Каталог мероприятий'!A:A,'Каталог мероприятий'!O:O,"нет карточки")</f>
        <v>0</v>
      </c>
      <c r="U9" t="str">
        <f>_xlfn.XLOOKUP(Недельный_график_ТКРС[[#This Row],[Скв]],'Каталог мероприятий'!A:A,'Каталог мероприятий'!Q:Q)</f>
        <v>ТР8-1</v>
      </c>
      <c r="V9"/>
      <c r="W9"/>
      <c r="X9"/>
      <c r="Y9"/>
      <c r="Z9"/>
    </row>
    <row r="10" spans="1:26" ht="41.25" hidden="1" customHeight="1" x14ac:dyDescent="0.25">
      <c r="A10" t="s">
        <v>344</v>
      </c>
      <c r="B10" s="5" t="s">
        <v>71</v>
      </c>
      <c r="C10" s="2" t="s">
        <v>294</v>
      </c>
      <c r="D10" s="1">
        <v>15</v>
      </c>
      <c r="E10" s="3">
        <v>46074</v>
      </c>
      <c r="F10" s="3">
        <v>46095</v>
      </c>
      <c r="G10" s="1">
        <v>504</v>
      </c>
      <c r="H10" s="1">
        <v>1000</v>
      </c>
      <c r="I10" s="1">
        <v>0</v>
      </c>
      <c r="J10" s="1">
        <v>0</v>
      </c>
      <c r="K10" s="2" t="s">
        <v>227</v>
      </c>
      <c r="L10" s="6" t="s">
        <v>295</v>
      </c>
      <c r="M10" s="2" t="s">
        <v>25</v>
      </c>
      <c r="N10" s="3"/>
      <c r="P10" s="3"/>
      <c r="Q10"/>
      <c r="R10"/>
      <c r="S10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10">
        <f>_xlfn.XLOOKUP(Недельный_график_ТКРС[[#This Row],[Скв]],'Каталог мероприятий'!A:A,'Каталог мероприятий'!O:O,"нет карточки")</f>
        <v>0</v>
      </c>
      <c r="U10" t="str">
        <f>_xlfn.XLOOKUP(Недельный_график_ТКРС[[#This Row],[Скв]],'Каталог мероприятий'!A:A,'Каталог мероприятий'!Q:Q)</f>
        <v>КР10-1</v>
      </c>
      <c r="V10"/>
      <c r="W10"/>
      <c r="X10"/>
      <c r="Y10"/>
      <c r="Z10"/>
    </row>
    <row r="11" spans="1:26" ht="41.25" hidden="1" customHeight="1" x14ac:dyDescent="0.25">
      <c r="A11" t="s">
        <v>345</v>
      </c>
      <c r="B11" s="5" t="s">
        <v>174</v>
      </c>
      <c r="C11" s="2" t="s">
        <v>300</v>
      </c>
      <c r="D11" s="1">
        <v>2</v>
      </c>
      <c r="E11" s="3">
        <v>46083</v>
      </c>
      <c r="F11" s="3">
        <v>46087</v>
      </c>
      <c r="G11" s="1">
        <v>96</v>
      </c>
      <c r="H11" s="1">
        <v>0</v>
      </c>
      <c r="I11" s="1">
        <v>0</v>
      </c>
      <c r="J11" s="1">
        <v>0</v>
      </c>
      <c r="K11" s="2" t="s">
        <v>61</v>
      </c>
      <c r="L11" s="6" t="s">
        <v>261</v>
      </c>
      <c r="M11" s="2" t="s">
        <v>25</v>
      </c>
      <c r="N11" s="3"/>
      <c r="P11" s="3"/>
      <c r="Q11"/>
      <c r="R11"/>
      <c r="S11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11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11" t="e">
        <f>_xlfn.XLOOKUP(Недельный_график_ТКРС[[#This Row],[Скв]],'Каталог мероприятий'!A:A,'Каталог мероприятий'!Q:Q)</f>
        <v>#N/A</v>
      </c>
      <c r="V11"/>
      <c r="W11"/>
      <c r="X11"/>
      <c r="Y11"/>
      <c r="Z11"/>
    </row>
    <row r="12" spans="1:26" ht="41.25" hidden="1" customHeight="1" x14ac:dyDescent="0.25">
      <c r="A12" t="s">
        <v>345</v>
      </c>
      <c r="B12" s="5" t="s">
        <v>196</v>
      </c>
      <c r="C12" s="2" t="s">
        <v>361</v>
      </c>
      <c r="D12" s="1">
        <v>91</v>
      </c>
      <c r="E12" s="3">
        <v>46082</v>
      </c>
      <c r="F12" s="3">
        <v>46091</v>
      </c>
      <c r="G12" s="1">
        <v>216</v>
      </c>
      <c r="H12" s="1">
        <v>14</v>
      </c>
      <c r="I12" s="1">
        <v>1</v>
      </c>
      <c r="J12" s="1">
        <v>12</v>
      </c>
      <c r="K12" s="2" t="s">
        <v>51</v>
      </c>
      <c r="L12" s="6" t="s">
        <v>43</v>
      </c>
      <c r="M12" s="2" t="s">
        <v>25</v>
      </c>
      <c r="N12" s="3"/>
      <c r="P12" s="3"/>
      <c r="Q12"/>
      <c r="R12"/>
      <c r="S12" t="str">
        <f>_xlfn.XLOOKUP(Недельный_график_ТКРС[[#This Row],[Скв]],'Каталог мероприятий'!A:A,'Каталог мероприятий'!N:N,"нет карточки")</f>
        <v>ООО "Андижон"</v>
      </c>
      <c r="T12" t="str">
        <f>_xlfn.XLOOKUP(Недельный_график_ТКРС[[#This Row],[Скв]],'Каталог мероприятий'!A:A,'Каталог мероприятий'!O:O,"нет карточки")</f>
        <v>5</v>
      </c>
      <c r="U12" t="str">
        <f>_xlfn.XLOOKUP(Недельный_график_ТКРС[[#This Row],[Скв]],'Каталог мероприятий'!A:A,'Каталог мероприятий'!Q:Q)</f>
        <v>ТР13-2</v>
      </c>
      <c r="V12"/>
      <c r="W12"/>
      <c r="X12"/>
      <c r="Y12"/>
      <c r="Z12"/>
    </row>
    <row r="13" spans="1:26" ht="41.25" hidden="1" customHeight="1" x14ac:dyDescent="0.25">
      <c r="A13" t="s">
        <v>345</v>
      </c>
      <c r="B13" s="5" t="s">
        <v>112</v>
      </c>
      <c r="C13" s="2" t="s">
        <v>289</v>
      </c>
      <c r="D13" s="1">
        <v>18</v>
      </c>
      <c r="E13" s="3">
        <v>46081</v>
      </c>
      <c r="F13" s="3">
        <v>46088</v>
      </c>
      <c r="G13" s="1">
        <v>168</v>
      </c>
      <c r="H13" s="1">
        <v>280</v>
      </c>
      <c r="I13" s="1">
        <v>93</v>
      </c>
      <c r="J13" s="1">
        <v>16</v>
      </c>
      <c r="K13" s="2" t="s">
        <v>103</v>
      </c>
      <c r="L13" s="6" t="s">
        <v>290</v>
      </c>
      <c r="M13" s="2" t="s">
        <v>25</v>
      </c>
      <c r="N13" s="3"/>
      <c r="P13" s="3"/>
      <c r="Q13"/>
      <c r="R13"/>
      <c r="S13" t="str">
        <f>_xlfn.XLOOKUP(Недельный_график_ТКРС[[#This Row],[Скв]],'Каталог мероприятий'!A:A,'Каталог мероприятий'!N:N,"нет карточки")</f>
        <v>ООО "Андижон"</v>
      </c>
      <c r="T13">
        <f>_xlfn.XLOOKUP(Недельный_график_ТКРС[[#This Row],[Скв]],'Каталог мероприятий'!A:A,'Каталог мероприятий'!O:O,"нет карточки")</f>
        <v>0</v>
      </c>
      <c r="U13" t="str">
        <f>_xlfn.XLOOKUP(Недельный_график_ТКРС[[#This Row],[Скв]],'Каталог мероприятий'!A:A,'Каталог мероприятий'!Q:Q)</f>
        <v>КР7-1</v>
      </c>
      <c r="V13"/>
      <c r="W13"/>
      <c r="X13"/>
      <c r="Y13"/>
      <c r="Z13"/>
    </row>
    <row r="14" spans="1:26" ht="41.25" hidden="1" customHeight="1" x14ac:dyDescent="0.25">
      <c r="A14" t="s">
        <v>345</v>
      </c>
      <c r="B14" s="5" t="s">
        <v>87</v>
      </c>
      <c r="C14" s="2" t="s">
        <v>155</v>
      </c>
      <c r="D14" s="1">
        <v>45</v>
      </c>
      <c r="E14" s="3">
        <v>46076</v>
      </c>
      <c r="F14" s="3">
        <v>46090</v>
      </c>
      <c r="G14" s="1">
        <v>336</v>
      </c>
      <c r="H14" s="1">
        <v>548</v>
      </c>
      <c r="I14" s="1">
        <v>90</v>
      </c>
      <c r="J14" s="1">
        <v>46</v>
      </c>
      <c r="K14" s="2" t="s">
        <v>48</v>
      </c>
      <c r="L14" s="6" t="s">
        <v>218</v>
      </c>
      <c r="M14" s="2" t="s">
        <v>91</v>
      </c>
      <c r="N14" s="3"/>
      <c r="P14" s="3"/>
      <c r="Q14"/>
      <c r="R14"/>
      <c r="S14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14" t="str">
        <f>_xlfn.XLOOKUP(Недельный_график_ТКРС[[#This Row],[Скв]],'Каталог мероприятий'!A:A,'Каталог мероприятий'!O:O,"нет карточки")</f>
        <v>18</v>
      </c>
      <c r="U14" t="str">
        <f>_xlfn.XLOOKUP(Недельный_график_ТКРС[[#This Row],[Скв]],'Каталог мероприятий'!A:A,'Каталог мероприятий'!Q:Q)</f>
        <v>КР-ОС-6</v>
      </c>
      <c r="V14"/>
      <c r="W14"/>
      <c r="X14"/>
      <c r="Y14"/>
      <c r="Z14"/>
    </row>
    <row r="15" spans="1:26" ht="41.25" hidden="1" customHeight="1" x14ac:dyDescent="0.25">
      <c r="A15" t="s">
        <v>345</v>
      </c>
      <c r="B15" s="5" t="s">
        <v>86</v>
      </c>
      <c r="C15" s="2" t="s">
        <v>123</v>
      </c>
      <c r="D15" s="1">
        <v>47</v>
      </c>
      <c r="E15" s="3">
        <v>46082</v>
      </c>
      <c r="F15" s="3">
        <v>46092</v>
      </c>
      <c r="G15" s="1">
        <v>240</v>
      </c>
      <c r="H15" s="1">
        <v>250</v>
      </c>
      <c r="I15" s="1">
        <v>20</v>
      </c>
      <c r="J15" s="1">
        <v>166</v>
      </c>
      <c r="K15" s="2" t="s">
        <v>203</v>
      </c>
      <c r="L15" s="6" t="s">
        <v>324</v>
      </c>
      <c r="M15" s="2" t="s">
        <v>91</v>
      </c>
      <c r="N15" s="3">
        <v>46089</v>
      </c>
      <c r="O15" s="1">
        <v>3</v>
      </c>
      <c r="P15" s="3">
        <v>46095</v>
      </c>
      <c r="Q15"/>
      <c r="R15"/>
      <c r="S15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15">
        <f>_xlfn.XLOOKUP(Недельный_график_ТКРС[[#This Row],[Скв]],'Каталог мероприятий'!A:A,'Каталог мероприятий'!O:O,"нет карточки")</f>
        <v>0</v>
      </c>
      <c r="U15" t="str">
        <f>_xlfn.XLOOKUP(Недельный_график_ТКРС[[#This Row],[Скв]],'Каталог мероприятий'!A:A,'Каталог мероприятий'!Q:Q)</f>
        <v>КР13-2НТ А</v>
      </c>
      <c r="V15"/>
      <c r="W15"/>
      <c r="X15"/>
      <c r="Y15"/>
      <c r="Z15"/>
    </row>
    <row r="16" spans="1:26" ht="41.25" hidden="1" customHeight="1" x14ac:dyDescent="0.25">
      <c r="A16" t="s">
        <v>345</v>
      </c>
      <c r="B16" s="5" t="s">
        <v>77</v>
      </c>
      <c r="C16" s="2" t="s">
        <v>101</v>
      </c>
      <c r="D16" s="1">
        <v>37</v>
      </c>
      <c r="E16" s="3">
        <v>46080</v>
      </c>
      <c r="F16" s="3">
        <v>46091</v>
      </c>
      <c r="G16" s="1">
        <v>264</v>
      </c>
      <c r="H16" s="1">
        <v>800</v>
      </c>
      <c r="I16" s="1">
        <v>0</v>
      </c>
      <c r="J16" s="1">
        <v>22</v>
      </c>
      <c r="K16" s="2" t="s">
        <v>54</v>
      </c>
      <c r="L16" s="6" t="s">
        <v>44</v>
      </c>
      <c r="M16" s="2" t="s">
        <v>25</v>
      </c>
      <c r="N16" s="3"/>
      <c r="P16" s="3"/>
      <c r="Q16"/>
      <c r="R16"/>
      <c r="S16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16">
        <f>_xlfn.XLOOKUP(Недельный_график_ТКРС[[#This Row],[Скв]],'Каталог мероприятий'!A:A,'Каталог мероприятий'!O:O,"нет карточки")</f>
        <v>0</v>
      </c>
      <c r="U16" t="str">
        <f>_xlfn.XLOOKUP(Недельный_график_ТКРС[[#This Row],[Скв]],'Каталог мероприятий'!A:A,'Каталог мероприятий'!Q:Q)</f>
        <v>КР7-16</v>
      </c>
      <c r="V16"/>
      <c r="W16"/>
      <c r="X16"/>
      <c r="Y16"/>
      <c r="Z16"/>
    </row>
    <row r="17" spans="1:26" ht="41.25" customHeight="1" x14ac:dyDescent="0.25">
      <c r="A17" t="s">
        <v>345</v>
      </c>
      <c r="B17" s="5" t="s">
        <v>159</v>
      </c>
      <c r="C17" s="23" t="s">
        <v>359</v>
      </c>
      <c r="D17" s="1">
        <v>93</v>
      </c>
      <c r="E17" s="3">
        <v>46074</v>
      </c>
      <c r="F17" s="3">
        <v>46083</v>
      </c>
      <c r="G17" s="1">
        <v>216</v>
      </c>
      <c r="H17" s="1">
        <v>62</v>
      </c>
      <c r="I17" s="1">
        <v>2</v>
      </c>
      <c r="J17" s="1">
        <v>50</v>
      </c>
      <c r="K17" s="2" t="s">
        <v>51</v>
      </c>
      <c r="L17" s="6" t="s">
        <v>43</v>
      </c>
      <c r="M17" s="2" t="s">
        <v>25</v>
      </c>
      <c r="N17" s="3"/>
      <c r="P17" s="3"/>
      <c r="Q17"/>
      <c r="R17"/>
      <c r="S17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17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17" t="e">
        <f>_xlfn.XLOOKUP(Недельный_график_ТКРС[[#This Row],[Скв]],'Каталог мероприятий'!A:A,'Каталог мероприятий'!Q:Q)</f>
        <v>#N/A</v>
      </c>
      <c r="V17"/>
      <c r="W17"/>
      <c r="X17"/>
      <c r="Y17"/>
      <c r="Z17"/>
    </row>
    <row r="18" spans="1:26" ht="41.25" hidden="1" customHeight="1" x14ac:dyDescent="0.25">
      <c r="A18" t="s">
        <v>345</v>
      </c>
      <c r="B18" s="5" t="s">
        <v>159</v>
      </c>
      <c r="C18" s="2" t="s">
        <v>151</v>
      </c>
      <c r="D18" s="1">
        <v>244</v>
      </c>
      <c r="E18" s="3">
        <v>46083</v>
      </c>
      <c r="F18" s="3">
        <v>46095</v>
      </c>
      <c r="G18" s="1">
        <v>288</v>
      </c>
      <c r="H18" s="1">
        <v>161</v>
      </c>
      <c r="I18" s="1">
        <v>62</v>
      </c>
      <c r="J18" s="1">
        <v>50</v>
      </c>
      <c r="K18" s="2" t="s">
        <v>162</v>
      </c>
      <c r="L18" s="6" t="s">
        <v>224</v>
      </c>
      <c r="M18" s="2" t="s">
        <v>178</v>
      </c>
      <c r="N18" s="3"/>
      <c r="O18" s="1">
        <v>1</v>
      </c>
      <c r="P18" s="3">
        <v>46064</v>
      </c>
      <c r="Q18"/>
      <c r="R18"/>
      <c r="S18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18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18" t="e">
        <f>_xlfn.XLOOKUP(Недельный_график_ТКРС[[#This Row],[Скв]],'Каталог мероприятий'!A:A,'Каталог мероприятий'!Q:Q)</f>
        <v>#N/A</v>
      </c>
      <c r="V18"/>
      <c r="W18"/>
      <c r="X18"/>
      <c r="Y18"/>
      <c r="Z18"/>
    </row>
    <row r="19" spans="1:26" ht="41.25" hidden="1" customHeight="1" x14ac:dyDescent="0.25">
      <c r="A19" t="s">
        <v>345</v>
      </c>
      <c r="B19" s="5" t="s">
        <v>111</v>
      </c>
      <c r="C19" s="2" t="s">
        <v>128</v>
      </c>
      <c r="D19" s="1">
        <v>56</v>
      </c>
      <c r="E19" s="3">
        <v>46082</v>
      </c>
      <c r="F19" s="3">
        <v>46091</v>
      </c>
      <c r="G19" s="1">
        <v>216</v>
      </c>
      <c r="H19" s="1">
        <v>0</v>
      </c>
      <c r="I19" s="1">
        <v>0</v>
      </c>
      <c r="J19" s="1">
        <v>0</v>
      </c>
      <c r="K19" s="2" t="s">
        <v>51</v>
      </c>
      <c r="L19" s="6" t="s">
        <v>131</v>
      </c>
      <c r="M19" s="2" t="s">
        <v>25</v>
      </c>
      <c r="N19" s="3"/>
      <c r="P19" s="3"/>
      <c r="Q19"/>
      <c r="R19"/>
      <c r="S19" t="str">
        <f>_xlfn.XLOOKUP(Недельный_график_ТКРС[[#This Row],[Скв]],'Каталог мероприятий'!A:A,'Каталог мероприятий'!N:N,"нет карточки")</f>
        <v>ООО "Андижон"</v>
      </c>
      <c r="T19">
        <f>_xlfn.XLOOKUP(Недельный_график_ТКРС[[#This Row],[Скв]],'Каталог мероприятий'!A:A,'Каталог мероприятий'!O:O,"нет карточки")</f>
        <v>0</v>
      </c>
      <c r="U19" t="str">
        <f>_xlfn.XLOOKUP(Недельный_график_ТКРС[[#This Row],[Скв]],'Каталог мероприятий'!A:A,'Каталог мероприятий'!Q:Q)</f>
        <v>ТР5-1</v>
      </c>
      <c r="V19"/>
      <c r="W19"/>
      <c r="X19"/>
      <c r="Y19"/>
      <c r="Z19"/>
    </row>
    <row r="20" spans="1:26" ht="41.25" customHeight="1" x14ac:dyDescent="0.25">
      <c r="A20" t="s">
        <v>345</v>
      </c>
      <c r="B20" s="5" t="s">
        <v>81</v>
      </c>
      <c r="C20" s="23" t="s">
        <v>320</v>
      </c>
      <c r="D20" s="1">
        <v>10</v>
      </c>
      <c r="E20" s="3">
        <v>46080</v>
      </c>
      <c r="F20" s="3">
        <v>46091</v>
      </c>
      <c r="G20" s="1">
        <v>264</v>
      </c>
      <c r="H20" s="1">
        <v>25</v>
      </c>
      <c r="I20" s="1">
        <v>6</v>
      </c>
      <c r="J20" s="1">
        <v>20</v>
      </c>
      <c r="K20" s="2" t="s">
        <v>51</v>
      </c>
      <c r="L20" s="6" t="s">
        <v>321</v>
      </c>
      <c r="M20" s="2" t="s">
        <v>25</v>
      </c>
      <c r="N20" s="3"/>
      <c r="P20" s="3"/>
      <c r="Q20"/>
      <c r="R20"/>
      <c r="S20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20">
        <f>_xlfn.XLOOKUP(Недельный_график_ТКРС[[#This Row],[Скв]],'Каталог мероприятий'!A:A,'Каталог мероприятий'!O:O,"нет карточки")</f>
        <v>0</v>
      </c>
      <c r="U20" t="str">
        <f>_xlfn.XLOOKUP(Недельный_график_ТКРС[[#This Row],[Скв]],'Каталог мероприятий'!A:A,'Каталог мероприятий'!Q:Q)</f>
        <v>ТР5-1</v>
      </c>
      <c r="V20"/>
      <c r="W20"/>
      <c r="X20"/>
      <c r="Y20"/>
      <c r="Z20"/>
    </row>
    <row r="21" spans="1:26" ht="41.25" hidden="1" customHeight="1" x14ac:dyDescent="0.25">
      <c r="A21" t="s">
        <v>345</v>
      </c>
      <c r="B21" s="5" t="s">
        <v>80</v>
      </c>
      <c r="C21" s="2" t="s">
        <v>266</v>
      </c>
      <c r="D21" s="1">
        <v>82</v>
      </c>
      <c r="E21" s="3">
        <v>46083</v>
      </c>
      <c r="F21" s="3">
        <v>46092</v>
      </c>
      <c r="G21" s="1">
        <v>216</v>
      </c>
      <c r="H21" s="1">
        <v>76</v>
      </c>
      <c r="I21" s="1">
        <v>71</v>
      </c>
      <c r="J21" s="1">
        <v>18</v>
      </c>
      <c r="K21" s="2" t="s">
        <v>51</v>
      </c>
      <c r="L21" s="6" t="s">
        <v>43</v>
      </c>
      <c r="M21" s="2" t="s">
        <v>25</v>
      </c>
      <c r="N21" s="3"/>
      <c r="P21" s="3"/>
      <c r="Q21"/>
      <c r="R21"/>
      <c r="S21" t="str">
        <f>_xlfn.XLOOKUP(Недельный_график_ТКРС[[#This Row],[Скв]],'Каталог мероприятий'!A:A,'Каталог мероприятий'!N:N,"нет карточки")</f>
        <v>ООО "ИНК-ТКРС"</v>
      </c>
      <c r="T21" t="str">
        <f>_xlfn.XLOOKUP(Недельный_график_ТКРС[[#This Row],[Скв]],'Каталог мероприятий'!A:A,'Каталог мероприятий'!O:O,"нет карточки")</f>
        <v>28</v>
      </c>
      <c r="U21" t="str">
        <f>_xlfn.XLOOKUP(Недельный_график_ТКРС[[#This Row],[Скв]],'Каталог мероприятий'!A:A,'Каталог мероприятий'!Q:Q)</f>
        <v>ТР5-1</v>
      </c>
      <c r="V21"/>
      <c r="W21"/>
      <c r="X21"/>
      <c r="Y21"/>
      <c r="Z21"/>
    </row>
    <row r="22" spans="1:26" ht="41.25" hidden="1" customHeight="1" x14ac:dyDescent="0.25">
      <c r="A22" t="s">
        <v>345</v>
      </c>
      <c r="B22" s="5" t="s">
        <v>79</v>
      </c>
      <c r="C22" s="2" t="s">
        <v>194</v>
      </c>
      <c r="D22" s="1">
        <v>18</v>
      </c>
      <c r="E22" s="3">
        <v>46083</v>
      </c>
      <c r="F22" s="3">
        <v>46098</v>
      </c>
      <c r="G22" s="1">
        <v>360</v>
      </c>
      <c r="H22" s="1">
        <v>87</v>
      </c>
      <c r="I22" s="1">
        <v>50</v>
      </c>
      <c r="J22" s="1">
        <v>36</v>
      </c>
      <c r="K22" s="2" t="s">
        <v>89</v>
      </c>
      <c r="L22" s="6" t="s">
        <v>348</v>
      </c>
      <c r="M22" s="2" t="s">
        <v>25</v>
      </c>
      <c r="N22" s="3">
        <v>46102</v>
      </c>
      <c r="O22" s="1">
        <v>1</v>
      </c>
      <c r="P22" s="3">
        <v>46104</v>
      </c>
      <c r="Q22"/>
      <c r="R22"/>
      <c r="S22" t="str">
        <f>_xlfn.XLOOKUP(Недельный_график_ТКРС[[#This Row],[Скв]],'Каталог мероприятий'!A:A,'Каталог мероприятий'!N:N,"нет карточки")</f>
        <v>нет карточки</v>
      </c>
      <c r="T22" t="str">
        <f>_xlfn.XLOOKUP(Недельный_график_ТКРС[[#This Row],[Скв]],'Каталог мероприятий'!A:A,'Каталог мероприятий'!O:O,"нет карточки")</f>
        <v>нет карточки</v>
      </c>
      <c r="U22" t="e">
        <f>_xlfn.XLOOKUP(Недельный_график_ТКРС[[#This Row],[Скв]],'Каталог мероприятий'!A:A,'Каталог мероприятий'!Q:Q)</f>
        <v>#N/A</v>
      </c>
      <c r="V22"/>
      <c r="W22"/>
      <c r="X22"/>
      <c r="Y22"/>
      <c r="Z22"/>
    </row>
    <row r="23" spans="1:26" ht="41.25" customHeight="1" x14ac:dyDescent="0.25">
      <c r="Q23"/>
      <c r="R23"/>
      <c r="S23" t="e">
        <f>_xlfn.XLOOKUP(Недельный_график_ТКРС[[#This Row],[Скв]],'Каталог мероприятий'!A:A,'Каталог мероприятий'!N:N,"нет карточки")</f>
        <v>#VALUE!</v>
      </c>
      <c r="T23" t="e">
        <f>_xlfn.XLOOKUP(Недельный_график_ТКРС[[#This Row],[Скв]],'Каталог мероприятий'!A:A,'Каталог мероприятий'!O:O,"нет карточки")</f>
        <v>#VALUE!</v>
      </c>
      <c r="U23" t="e">
        <f>_xlfn.XLOOKUP(Недельный_график_ТКРС[[#This Row],[Скв]],'Каталог мероприятий'!A:A,'Каталог мероприятий'!Q:Q)</f>
        <v>#VALUE!</v>
      </c>
      <c r="V23"/>
      <c r="W23"/>
      <c r="X23"/>
      <c r="Y23"/>
      <c r="Z23"/>
    </row>
    <row r="24" spans="1:26" ht="41.25" customHeight="1" x14ac:dyDescent="0.25">
      <c r="Q24"/>
      <c r="R24"/>
      <c r="S24" t="e">
        <f>_xlfn.XLOOKUP(Недельный_график_ТКРС[[#This Row],[Скв]],'Каталог мероприятий'!A:A,'Каталог мероприятий'!N:N,"нет карточки")</f>
        <v>#VALUE!</v>
      </c>
      <c r="T24" t="e">
        <f>_xlfn.XLOOKUP(Недельный_график_ТКРС[[#This Row],[Скв]],'Каталог мероприятий'!A:A,'Каталог мероприятий'!O:O,"нет карточки")</f>
        <v>#VALUE!</v>
      </c>
      <c r="U24" t="e">
        <f>_xlfn.XLOOKUP(Недельный_график_ТКРС[[#This Row],[Скв]],'Каталог мероприятий'!A:A,'Каталог мероприятий'!Q:Q)</f>
        <v>#VALUE!</v>
      </c>
      <c r="V24"/>
      <c r="W24"/>
      <c r="X24"/>
      <c r="Y24"/>
      <c r="Z24"/>
    </row>
    <row r="25" spans="1:26" ht="41.25" customHeight="1" x14ac:dyDescent="0.25">
      <c r="Q25"/>
      <c r="R25"/>
      <c r="S25" t="e">
        <f>_xlfn.XLOOKUP(Недельный_график_ТКРС[[#This Row],[Скв]],'Каталог мероприятий'!A:A,'Каталог мероприятий'!N:N,"нет карточки")</f>
        <v>#VALUE!</v>
      </c>
      <c r="T25" t="e">
        <f>_xlfn.XLOOKUP(Недельный_график_ТКРС[[#This Row],[Скв]],'Каталог мероприятий'!A:A,'Каталог мероприятий'!O:O,"нет карточки")</f>
        <v>#VALUE!</v>
      </c>
      <c r="U25" t="e">
        <f>_xlfn.XLOOKUP(Недельный_график_ТКРС[[#This Row],[Скв]],'Каталог мероприятий'!A:A,'Каталог мероприятий'!Q:Q)</f>
        <v>#VALUE!</v>
      </c>
      <c r="V25"/>
      <c r="W25"/>
      <c r="X25"/>
      <c r="Y25"/>
      <c r="Z25"/>
    </row>
    <row r="26" spans="1:26" ht="41.25" customHeight="1" x14ac:dyDescent="0.25">
      <c r="Q26"/>
      <c r="R26"/>
      <c r="S26" t="e">
        <f>_xlfn.XLOOKUP(Недельный_график_ТКРС[[#This Row],[Скв]],'Каталог мероприятий'!A:A,'Каталог мероприятий'!N:N,"нет карточки")</f>
        <v>#VALUE!</v>
      </c>
      <c r="T26" t="e">
        <f>_xlfn.XLOOKUP(Недельный_график_ТКРС[[#This Row],[Скв]],'Каталог мероприятий'!A:A,'Каталог мероприятий'!O:O,"нет карточки")</f>
        <v>#VALUE!</v>
      </c>
      <c r="U26" t="e">
        <f>_xlfn.XLOOKUP(Недельный_график_ТКРС[[#This Row],[Скв]],'Каталог мероприятий'!A:A,'Каталог мероприятий'!Q:Q)</f>
        <v>#VALUE!</v>
      </c>
      <c r="V26"/>
      <c r="W26"/>
      <c r="X26"/>
      <c r="Y26"/>
      <c r="Z26"/>
    </row>
    <row r="27" spans="1:26" ht="41.25" customHeight="1" x14ac:dyDescent="0.25">
      <c r="Q27"/>
      <c r="R27"/>
      <c r="S27" t="e">
        <f>_xlfn.XLOOKUP(Недельный_график_ТКРС[[#This Row],[Скв]],'Каталог мероприятий'!A:A,'Каталог мероприятий'!N:N,"нет карточки")</f>
        <v>#VALUE!</v>
      </c>
      <c r="T27" t="e">
        <f>_xlfn.XLOOKUP(Недельный_график_ТКРС[[#This Row],[Скв]],'Каталог мероприятий'!A:A,'Каталог мероприятий'!O:O,"нет карточки")</f>
        <v>#VALUE!</v>
      </c>
      <c r="U27" t="e">
        <f>_xlfn.XLOOKUP(Недельный_график_ТКРС[[#This Row],[Скв]],'Каталог мероприятий'!A:A,'Каталог мероприятий'!Q:Q)</f>
        <v>#VALUE!</v>
      </c>
      <c r="V27"/>
      <c r="W27"/>
      <c r="X27"/>
      <c r="Y27"/>
      <c r="Z27"/>
    </row>
    <row r="28" spans="1:26" ht="41.25" customHeight="1" x14ac:dyDescent="0.25">
      <c r="Y28"/>
      <c r="Z28"/>
    </row>
    <row r="29" spans="1:26" ht="41.25" customHeight="1" x14ac:dyDescent="0.25">
      <c r="Y29"/>
      <c r="Z29"/>
    </row>
    <row r="30" spans="1:26" ht="41.25" customHeight="1" x14ac:dyDescent="0.25">
      <c r="Y30"/>
      <c r="Z30"/>
    </row>
    <row r="31" spans="1:26" ht="41.25" customHeight="1" x14ac:dyDescent="0.25">
      <c r="Y31"/>
      <c r="Z31"/>
    </row>
    <row r="32" spans="1:26" ht="41.25" customHeight="1" x14ac:dyDescent="0.25">
      <c r="Y32"/>
      <c r="Z32"/>
    </row>
    <row r="33" spans="25:26" ht="41.25" customHeight="1" x14ac:dyDescent="0.25">
      <c r="Y33"/>
      <c r="Z33"/>
    </row>
    <row r="34" spans="25:26" ht="41.25" customHeight="1" x14ac:dyDescent="0.25">
      <c r="Y34"/>
      <c r="Z34"/>
    </row>
    <row r="35" spans="25:26" ht="41.25" customHeight="1" x14ac:dyDescent="0.25">
      <c r="Y35"/>
      <c r="Z35"/>
    </row>
    <row r="36" spans="25:26" ht="41.25" customHeight="1" x14ac:dyDescent="0.25">
      <c r="Y36"/>
      <c r="Z36"/>
    </row>
    <row r="37" spans="25:26" ht="41.25" customHeight="1" x14ac:dyDescent="0.25">
      <c r="Y37"/>
      <c r="Z37"/>
    </row>
    <row r="38" spans="25:26" ht="41.25" customHeight="1" x14ac:dyDescent="0.25">
      <c r="Y38"/>
      <c r="Z38"/>
    </row>
    <row r="39" spans="25:26" ht="41.25" customHeight="1" x14ac:dyDescent="0.25">
      <c r="Y39"/>
      <c r="Z39"/>
    </row>
    <row r="40" spans="25:26" ht="41.25" customHeight="1" x14ac:dyDescent="0.25">
      <c r="Y40"/>
      <c r="Z40"/>
    </row>
    <row r="41" spans="25:26" ht="41.25" customHeight="1" x14ac:dyDescent="0.25">
      <c r="Y41"/>
      <c r="Z41"/>
    </row>
    <row r="42" spans="25:26" ht="41.25" customHeight="1" x14ac:dyDescent="0.25">
      <c r="Y42"/>
      <c r="Z42"/>
    </row>
    <row r="43" spans="25:26" ht="41.25" customHeight="1" x14ac:dyDescent="0.25">
      <c r="Y43"/>
      <c r="Z43"/>
    </row>
    <row r="44" spans="25:26" ht="41.25" customHeight="1" x14ac:dyDescent="0.25">
      <c r="Y44"/>
      <c r="Z44"/>
    </row>
    <row r="45" spans="25:26" ht="41.25" customHeight="1" x14ac:dyDescent="0.25">
      <c r="Y45"/>
      <c r="Z45"/>
    </row>
    <row r="46" spans="25:26" ht="41.25" customHeight="1" x14ac:dyDescent="0.25">
      <c r="Y46"/>
      <c r="Z46"/>
    </row>
    <row r="47" spans="25:26" ht="41.25" customHeight="1" x14ac:dyDescent="0.25">
      <c r="Y47"/>
      <c r="Z47"/>
    </row>
    <row r="48" spans="25:26" ht="41.25" customHeight="1" x14ac:dyDescent="0.25">
      <c r="Y48"/>
      <c r="Z48"/>
    </row>
    <row r="49" spans="25:26" ht="41.25" customHeight="1" x14ac:dyDescent="0.25">
      <c r="Y49"/>
      <c r="Z49"/>
    </row>
    <row r="50" spans="25:26" ht="41.25" customHeight="1" x14ac:dyDescent="0.25">
      <c r="Y50"/>
      <c r="Z50"/>
    </row>
    <row r="51" spans="25:26" ht="41.25" customHeight="1" x14ac:dyDescent="0.25">
      <c r="Y51"/>
      <c r="Z51"/>
    </row>
    <row r="52" spans="25:26" ht="41.25" customHeight="1" x14ac:dyDescent="0.25">
      <c r="Y52"/>
      <c r="Z52"/>
    </row>
    <row r="53" spans="25:26" ht="41.25" customHeight="1" x14ac:dyDescent="0.25">
      <c r="Y53"/>
      <c r="Z53"/>
    </row>
    <row r="54" spans="25:26" ht="41.25" customHeight="1" x14ac:dyDescent="0.25">
      <c r="Y54"/>
      <c r="Z54"/>
    </row>
    <row r="55" spans="25:26" ht="41.25" customHeight="1" x14ac:dyDescent="0.25">
      <c r="Y55"/>
      <c r="Z55"/>
    </row>
    <row r="56" spans="25:26" ht="41.25" customHeight="1" x14ac:dyDescent="0.25">
      <c r="Y56"/>
      <c r="Z56"/>
    </row>
    <row r="57" spans="25:26" ht="41.25" customHeight="1" x14ac:dyDescent="0.25">
      <c r="Y57"/>
      <c r="Z57"/>
    </row>
    <row r="58" spans="25:26" ht="41.25" customHeight="1" x14ac:dyDescent="0.25">
      <c r="Y58"/>
      <c r="Z58"/>
    </row>
    <row r="59" spans="25:26" ht="41.25" customHeight="1" x14ac:dyDescent="0.25">
      <c r="Y59"/>
      <c r="Z59"/>
    </row>
    <row r="60" spans="25:26" ht="41.25" customHeight="1" x14ac:dyDescent="0.25">
      <c r="Y60"/>
      <c r="Z60"/>
    </row>
    <row r="61" spans="25:26" ht="41.25" customHeight="1" x14ac:dyDescent="0.25">
      <c r="Y61"/>
      <c r="Z61"/>
    </row>
    <row r="62" spans="25:26" ht="41.25" customHeight="1" x14ac:dyDescent="0.25">
      <c r="Y62"/>
      <c r="Z62"/>
    </row>
    <row r="63" spans="25:26" ht="41.25" customHeight="1" x14ac:dyDescent="0.25">
      <c r="Y63"/>
      <c r="Z63"/>
    </row>
    <row r="64" spans="25:26" ht="41.25" customHeight="1" x14ac:dyDescent="0.25">
      <c r="Y64"/>
      <c r="Z64"/>
    </row>
    <row r="65" spans="25:26" ht="41.25" customHeight="1" x14ac:dyDescent="0.25">
      <c r="Y65"/>
      <c r="Z65"/>
    </row>
    <row r="66" spans="25:26" ht="41.25" customHeight="1" x14ac:dyDescent="0.25">
      <c r="Y66"/>
      <c r="Z66"/>
    </row>
    <row r="67" spans="25:26" ht="41.25" customHeight="1" x14ac:dyDescent="0.25">
      <c r="Y67"/>
      <c r="Z67"/>
    </row>
    <row r="68" spans="25:26" ht="41.25" customHeight="1" x14ac:dyDescent="0.25">
      <c r="Y68"/>
      <c r="Z68"/>
    </row>
    <row r="69" spans="25:26" ht="41.25" customHeight="1" x14ac:dyDescent="0.25">
      <c r="Y69"/>
      <c r="Z69"/>
    </row>
    <row r="70" spans="25:26" ht="41.25" customHeight="1" x14ac:dyDescent="0.25">
      <c r="Y70"/>
      <c r="Z70"/>
    </row>
    <row r="71" spans="25:26" ht="41.25" customHeight="1" x14ac:dyDescent="0.25">
      <c r="Y71"/>
      <c r="Z71"/>
    </row>
    <row r="72" spans="25:26" ht="41.25" customHeight="1" x14ac:dyDescent="0.25">
      <c r="Y72"/>
      <c r="Z72"/>
    </row>
    <row r="73" spans="25:26" ht="41.25" customHeight="1" x14ac:dyDescent="0.25">
      <c r="Y73"/>
      <c r="Z73"/>
    </row>
    <row r="74" spans="25:26" ht="41.25" customHeight="1" x14ac:dyDescent="0.25">
      <c r="Y74"/>
      <c r="Z74"/>
    </row>
    <row r="75" spans="25:26" ht="41.25" customHeight="1" x14ac:dyDescent="0.25">
      <c r="Y75"/>
      <c r="Z75"/>
    </row>
    <row r="76" spans="25:26" ht="41.25" customHeight="1" x14ac:dyDescent="0.25">
      <c r="Y76"/>
      <c r="Z76"/>
    </row>
    <row r="77" spans="25:26" ht="41.25" customHeight="1" x14ac:dyDescent="0.25">
      <c r="Y77"/>
      <c r="Z77"/>
    </row>
    <row r="78" spans="25:26" ht="41.25" customHeight="1" x14ac:dyDescent="0.25">
      <c r="Y78"/>
      <c r="Z78"/>
    </row>
    <row r="79" spans="25:26" ht="41.25" customHeight="1" x14ac:dyDescent="0.25">
      <c r="Y79"/>
      <c r="Z79"/>
    </row>
    <row r="80" spans="25:26" ht="41.25" customHeight="1" x14ac:dyDescent="0.25">
      <c r="Y80"/>
      <c r="Z80"/>
    </row>
    <row r="81" spans="25:26" ht="41.25" customHeight="1" x14ac:dyDescent="0.25">
      <c r="Y81"/>
      <c r="Z81"/>
    </row>
    <row r="82" spans="25:26" ht="41.25" customHeight="1" x14ac:dyDescent="0.25">
      <c r="Y82"/>
      <c r="Z82"/>
    </row>
    <row r="83" spans="25:26" ht="41.25" customHeight="1" x14ac:dyDescent="0.25">
      <c r="Y83"/>
      <c r="Z83"/>
    </row>
    <row r="84" spans="25:26" ht="41.25" customHeight="1" x14ac:dyDescent="0.25">
      <c r="Y84"/>
      <c r="Z84"/>
    </row>
    <row r="85" spans="25:26" ht="41.25" customHeight="1" x14ac:dyDescent="0.25">
      <c r="Y85"/>
      <c r="Z85"/>
    </row>
    <row r="86" spans="25:26" ht="41.25" customHeight="1" x14ac:dyDescent="0.25">
      <c r="Y86"/>
      <c r="Z86"/>
    </row>
    <row r="87" spans="25:26" ht="41.25" customHeight="1" x14ac:dyDescent="0.25">
      <c r="Y87"/>
      <c r="Z87"/>
    </row>
    <row r="88" spans="25:26" ht="41.25" customHeight="1" x14ac:dyDescent="0.25">
      <c r="Y88"/>
      <c r="Z88"/>
    </row>
    <row r="89" spans="25:26" ht="41.25" customHeight="1" x14ac:dyDescent="0.25">
      <c r="Y89"/>
      <c r="Z89"/>
    </row>
    <row r="90" spans="25:26" ht="41.25" customHeight="1" x14ac:dyDescent="0.25">
      <c r="Y90"/>
      <c r="Z90"/>
    </row>
    <row r="91" spans="25:26" ht="41.25" customHeight="1" x14ac:dyDescent="0.25">
      <c r="Y91"/>
      <c r="Z91"/>
    </row>
    <row r="92" spans="25:26" ht="41.25" customHeight="1" x14ac:dyDescent="0.25">
      <c r="Y92"/>
      <c r="Z92"/>
    </row>
    <row r="93" spans="25:26" ht="41.25" customHeight="1" x14ac:dyDescent="0.25">
      <c r="Y93"/>
      <c r="Z93"/>
    </row>
    <row r="94" spans="25:26" ht="41.25" customHeight="1" x14ac:dyDescent="0.25">
      <c r="Y94"/>
      <c r="Z94"/>
    </row>
    <row r="95" spans="25:26" ht="41.25" customHeight="1" x14ac:dyDescent="0.25">
      <c r="Y95"/>
      <c r="Z95"/>
    </row>
    <row r="96" spans="25:26" ht="41.25" customHeight="1" x14ac:dyDescent="0.25">
      <c r="Y96"/>
      <c r="Z96"/>
    </row>
    <row r="97" spans="25:26" ht="41.25" customHeight="1" x14ac:dyDescent="0.25">
      <c r="Y97"/>
      <c r="Z97"/>
    </row>
    <row r="98" spans="25:26" ht="41.25" customHeight="1" x14ac:dyDescent="0.25">
      <c r="Y98"/>
      <c r="Z98"/>
    </row>
    <row r="99" spans="25:26" ht="41.25" customHeight="1" x14ac:dyDescent="0.25">
      <c r="Y99"/>
      <c r="Z99"/>
    </row>
    <row r="100" spans="25:26" ht="41.25" customHeight="1" x14ac:dyDescent="0.25">
      <c r="Y100"/>
      <c r="Z100"/>
    </row>
    <row r="101" spans="25:26" ht="41.25" customHeight="1" x14ac:dyDescent="0.25">
      <c r="Y101"/>
      <c r="Z101"/>
    </row>
    <row r="102" spans="25:26" ht="41.25" customHeight="1" x14ac:dyDescent="0.25">
      <c r="Y102"/>
      <c r="Z102"/>
    </row>
    <row r="103" spans="25:26" ht="41.25" customHeight="1" x14ac:dyDescent="0.25">
      <c r="Y103"/>
      <c r="Z103"/>
    </row>
    <row r="104" spans="25:26" ht="41.25" customHeight="1" x14ac:dyDescent="0.25">
      <c r="Y104"/>
      <c r="Z104"/>
    </row>
    <row r="105" spans="25:26" ht="41.25" customHeight="1" x14ac:dyDescent="0.25">
      <c r="Y105"/>
      <c r="Z105"/>
    </row>
    <row r="106" spans="25:26" ht="41.25" customHeight="1" x14ac:dyDescent="0.25">
      <c r="Y106"/>
      <c r="Z106"/>
    </row>
    <row r="107" spans="25:26" ht="41.25" customHeight="1" x14ac:dyDescent="0.25">
      <c r="Y107"/>
      <c r="Z107"/>
    </row>
    <row r="108" spans="25:26" ht="41.25" customHeight="1" x14ac:dyDescent="0.25">
      <c r="Y108"/>
      <c r="Z108"/>
    </row>
    <row r="109" spans="25:26" ht="41.25" customHeight="1" x14ac:dyDescent="0.25">
      <c r="Y109"/>
      <c r="Z109"/>
    </row>
    <row r="110" spans="25:26" ht="41.25" customHeight="1" x14ac:dyDescent="0.25">
      <c r="Y110"/>
      <c r="Z110"/>
    </row>
    <row r="111" spans="25:26" ht="41.25" customHeight="1" x14ac:dyDescent="0.25">
      <c r="Y111"/>
      <c r="Z111"/>
    </row>
    <row r="112" spans="25:26" ht="41.25" customHeight="1" x14ac:dyDescent="0.25">
      <c r="Y112"/>
      <c r="Z112"/>
    </row>
    <row r="113" spans="25:26" ht="41.25" customHeight="1" x14ac:dyDescent="0.25">
      <c r="Y113"/>
      <c r="Z113"/>
    </row>
    <row r="114" spans="25:26" ht="41.25" customHeight="1" x14ac:dyDescent="0.25">
      <c r="Y114"/>
      <c r="Z114"/>
    </row>
    <row r="115" spans="25:26" ht="41.25" customHeight="1" x14ac:dyDescent="0.25">
      <c r="Y115"/>
      <c r="Z115"/>
    </row>
    <row r="116" spans="25:26" ht="41.25" customHeight="1" x14ac:dyDescent="0.25">
      <c r="Y116"/>
      <c r="Z116"/>
    </row>
    <row r="117" spans="25:26" ht="41.25" customHeight="1" x14ac:dyDescent="0.25">
      <c r="Y117"/>
      <c r="Z117"/>
    </row>
    <row r="118" spans="25:26" ht="41.25" customHeight="1" x14ac:dyDescent="0.25">
      <c r="Y118"/>
      <c r="Z118"/>
    </row>
    <row r="119" spans="25:26" ht="41.25" customHeight="1" x14ac:dyDescent="0.25">
      <c r="Y119"/>
      <c r="Z119"/>
    </row>
    <row r="120" spans="25:26" ht="41.25" customHeight="1" x14ac:dyDescent="0.25">
      <c r="Y120"/>
      <c r="Z120"/>
    </row>
    <row r="121" spans="25:26" ht="41.25" customHeight="1" x14ac:dyDescent="0.25">
      <c r="Y121"/>
      <c r="Z121"/>
    </row>
    <row r="122" spans="25:26" ht="41.25" customHeight="1" x14ac:dyDescent="0.25">
      <c r="Y122"/>
      <c r="Z122"/>
    </row>
    <row r="123" spans="25:26" ht="41.25" customHeight="1" x14ac:dyDescent="0.25">
      <c r="Y123"/>
      <c r="Z123"/>
    </row>
    <row r="124" spans="25:26" ht="41.25" customHeight="1" x14ac:dyDescent="0.25">
      <c r="Y124"/>
      <c r="Z124"/>
    </row>
    <row r="125" spans="25:26" ht="41.25" customHeight="1" x14ac:dyDescent="0.25">
      <c r="Y125"/>
      <c r="Z125"/>
    </row>
    <row r="126" spans="25:26" ht="41.25" customHeight="1" x14ac:dyDescent="0.25">
      <c r="Y126"/>
      <c r="Z126"/>
    </row>
    <row r="127" spans="25:26" ht="41.25" customHeight="1" x14ac:dyDescent="0.25">
      <c r="Y127"/>
      <c r="Z127"/>
    </row>
    <row r="128" spans="25:26" ht="41.25" customHeight="1" x14ac:dyDescent="0.25"/>
    <row r="129" ht="41.25" customHeight="1" x14ac:dyDescent="0.25"/>
    <row r="130" ht="41.25" customHeight="1" x14ac:dyDescent="0.25"/>
    <row r="131" ht="41.25" customHeight="1" x14ac:dyDescent="0.25"/>
    <row r="132" ht="41.25" customHeight="1" x14ac:dyDescent="0.25"/>
    <row r="133" ht="41.25" customHeight="1" x14ac:dyDescent="0.25"/>
    <row r="134" ht="41.25" customHeight="1" x14ac:dyDescent="0.25"/>
    <row r="135" ht="41.25" customHeight="1" x14ac:dyDescent="0.25"/>
    <row r="136" ht="41.25" customHeight="1" x14ac:dyDescent="0.25"/>
    <row r="137" ht="41.25" customHeight="1" x14ac:dyDescent="0.25"/>
    <row r="138" ht="41.25" customHeight="1" x14ac:dyDescent="0.25"/>
    <row r="139" ht="41.25" customHeight="1" x14ac:dyDescent="0.25"/>
    <row r="140" ht="41.25" customHeight="1" x14ac:dyDescent="0.25"/>
    <row r="141" ht="41.25" customHeight="1" x14ac:dyDescent="0.25"/>
    <row r="142" ht="41.25" customHeight="1" x14ac:dyDescent="0.25"/>
    <row r="143" ht="41.25" customHeight="1" x14ac:dyDescent="0.25"/>
    <row r="144" ht="41.25" customHeight="1" x14ac:dyDescent="0.25"/>
    <row r="145" ht="41.25" customHeight="1" x14ac:dyDescent="0.25"/>
    <row r="146" ht="41.25" customHeight="1" x14ac:dyDescent="0.25"/>
    <row r="147" ht="41.25" customHeight="1" x14ac:dyDescent="0.25"/>
    <row r="148" ht="41.25" customHeight="1" x14ac:dyDescent="0.25"/>
    <row r="149" ht="41.25" customHeight="1" x14ac:dyDescent="0.25"/>
    <row r="150" ht="41.25" customHeight="1" x14ac:dyDescent="0.25"/>
    <row r="151" ht="41.25" customHeight="1" x14ac:dyDescent="0.25"/>
    <row r="152" ht="41.25" customHeight="1" x14ac:dyDescent="0.25"/>
    <row r="153" ht="41.25" customHeight="1" x14ac:dyDescent="0.25"/>
    <row r="154" ht="41.25" customHeight="1" x14ac:dyDescent="0.25"/>
    <row r="155" ht="41.25" customHeight="1" x14ac:dyDescent="0.25"/>
    <row r="156" ht="41.25" customHeight="1" x14ac:dyDescent="0.25"/>
    <row r="157" ht="41.25" customHeight="1" x14ac:dyDescent="0.25"/>
    <row r="158" ht="41.25" customHeight="1" x14ac:dyDescent="0.25"/>
    <row r="159" ht="41.25" customHeight="1" x14ac:dyDescent="0.25"/>
    <row r="160" ht="41.25" customHeight="1" x14ac:dyDescent="0.25"/>
    <row r="161" ht="41.25" customHeight="1" x14ac:dyDescent="0.25"/>
    <row r="162" ht="41.25" customHeight="1" x14ac:dyDescent="0.25"/>
    <row r="163" ht="41.25" customHeight="1" x14ac:dyDescent="0.25"/>
    <row r="164" ht="41.25" customHeight="1" x14ac:dyDescent="0.25"/>
    <row r="165" ht="41.25" customHeight="1" x14ac:dyDescent="0.25"/>
    <row r="166" ht="41.25" customHeight="1" x14ac:dyDescent="0.25"/>
    <row r="167" ht="41.25" customHeight="1" x14ac:dyDescent="0.25"/>
    <row r="168" ht="41.25" customHeight="1" x14ac:dyDescent="0.25"/>
    <row r="169" ht="41.25" customHeight="1" x14ac:dyDescent="0.25"/>
    <row r="170" ht="41.25" customHeight="1" x14ac:dyDescent="0.25"/>
    <row r="171" ht="41.25" customHeight="1" x14ac:dyDescent="0.25"/>
    <row r="172" ht="41.25" customHeight="1" x14ac:dyDescent="0.25"/>
    <row r="173" ht="41.25" customHeight="1" x14ac:dyDescent="0.25"/>
    <row r="174" ht="41.25" customHeight="1" x14ac:dyDescent="0.25"/>
    <row r="175" ht="41.25" customHeight="1" x14ac:dyDescent="0.25"/>
    <row r="176" ht="41.25" customHeight="1" x14ac:dyDescent="0.25"/>
    <row r="177" ht="41.25" customHeight="1" x14ac:dyDescent="0.25"/>
    <row r="178" ht="41.25" customHeight="1" x14ac:dyDescent="0.25"/>
    <row r="179" ht="41.25" customHeight="1" x14ac:dyDescent="0.25"/>
    <row r="180" ht="41.25" customHeight="1" x14ac:dyDescent="0.25"/>
    <row r="181" ht="41.25" customHeight="1" x14ac:dyDescent="0.25"/>
    <row r="182" ht="41.25" customHeight="1" x14ac:dyDescent="0.25"/>
    <row r="183" ht="41.25" customHeight="1" x14ac:dyDescent="0.25"/>
    <row r="184" ht="41.25" customHeight="1" x14ac:dyDescent="0.25"/>
    <row r="185" ht="41.25" customHeight="1" x14ac:dyDescent="0.25"/>
    <row r="186" ht="41.25" customHeight="1" x14ac:dyDescent="0.25"/>
    <row r="187" ht="41.25" customHeight="1" x14ac:dyDescent="0.25"/>
    <row r="188" ht="41.25" customHeight="1" x14ac:dyDescent="0.25"/>
    <row r="189" ht="41.25" customHeight="1" x14ac:dyDescent="0.25"/>
    <row r="190" ht="41.25" customHeight="1" x14ac:dyDescent="0.25"/>
    <row r="191" ht="41.25" customHeight="1" x14ac:dyDescent="0.25"/>
    <row r="192" ht="41.25" customHeight="1" x14ac:dyDescent="0.25"/>
    <row r="193" ht="41.25" customHeight="1" x14ac:dyDescent="0.25"/>
    <row r="194" ht="41.25" customHeight="1" x14ac:dyDescent="0.25"/>
    <row r="195" ht="41.25" customHeight="1" x14ac:dyDescent="0.25"/>
    <row r="196" ht="41.25" customHeight="1" x14ac:dyDescent="0.25"/>
    <row r="197" ht="41.25" customHeight="1" x14ac:dyDescent="0.25"/>
    <row r="198" ht="41.25" customHeight="1" x14ac:dyDescent="0.25"/>
    <row r="199" ht="41.25" customHeight="1" x14ac:dyDescent="0.25"/>
    <row r="200" ht="41.25" customHeight="1" x14ac:dyDescent="0.25"/>
    <row r="201" ht="41.25" customHeight="1" x14ac:dyDescent="0.25"/>
    <row r="202" ht="41.25" customHeight="1" x14ac:dyDescent="0.25"/>
    <row r="203" ht="41.25" customHeight="1" x14ac:dyDescent="0.25"/>
    <row r="204" ht="41.25" customHeight="1" x14ac:dyDescent="0.25"/>
    <row r="205" ht="41.25" customHeight="1" x14ac:dyDescent="0.25"/>
    <row r="206" ht="41.25" customHeight="1" x14ac:dyDescent="0.25"/>
    <row r="207" ht="41.25" customHeight="1" x14ac:dyDescent="0.25"/>
    <row r="208" ht="41.25" customHeight="1" x14ac:dyDescent="0.25"/>
    <row r="209" ht="41.25" customHeight="1" x14ac:dyDescent="0.25"/>
    <row r="210" ht="41.25" customHeight="1" x14ac:dyDescent="0.25"/>
    <row r="211" ht="41.25" customHeight="1" x14ac:dyDescent="0.25"/>
    <row r="212" ht="41.25" customHeight="1" x14ac:dyDescent="0.25"/>
    <row r="213" ht="41.25" customHeight="1" x14ac:dyDescent="0.25"/>
    <row r="214" ht="41.25" customHeight="1" x14ac:dyDescent="0.25"/>
    <row r="215" ht="41.25" customHeight="1" x14ac:dyDescent="0.25"/>
    <row r="216" ht="41.25" customHeight="1" x14ac:dyDescent="0.25"/>
    <row r="217" ht="41.25" customHeight="1" x14ac:dyDescent="0.25"/>
    <row r="218" ht="41.25" customHeight="1" x14ac:dyDescent="0.25"/>
    <row r="219" ht="41.25" customHeight="1" x14ac:dyDescent="0.25"/>
    <row r="220" ht="41.25" customHeight="1" x14ac:dyDescent="0.25"/>
    <row r="221" ht="41.25" customHeight="1" x14ac:dyDescent="0.25"/>
    <row r="222" ht="41.25" customHeight="1" x14ac:dyDescent="0.25"/>
    <row r="223" ht="41.25" customHeight="1" x14ac:dyDescent="0.25"/>
    <row r="224" ht="41.25" customHeight="1" x14ac:dyDescent="0.25"/>
    <row r="225" ht="41.25" customHeight="1" x14ac:dyDescent="0.25"/>
    <row r="226" ht="41.25" customHeight="1" x14ac:dyDescent="0.25"/>
    <row r="227" ht="41.25" customHeight="1" x14ac:dyDescent="0.25"/>
    <row r="228" ht="41.25" customHeight="1" x14ac:dyDescent="0.25"/>
    <row r="229" ht="41.25" customHeight="1" x14ac:dyDescent="0.25"/>
    <row r="230" ht="41.25" customHeight="1" x14ac:dyDescent="0.25"/>
    <row r="231" ht="41.25" customHeight="1" x14ac:dyDescent="0.25"/>
    <row r="232" ht="41.25" customHeight="1" x14ac:dyDescent="0.25"/>
    <row r="233" ht="41.25" customHeight="1" x14ac:dyDescent="0.25"/>
    <row r="234" ht="41.25" customHeight="1" x14ac:dyDescent="0.25"/>
    <row r="235" ht="41.25" customHeight="1" x14ac:dyDescent="0.25"/>
    <row r="236" ht="41.25" customHeight="1" x14ac:dyDescent="0.25"/>
    <row r="237" ht="41.25" customHeight="1" x14ac:dyDescent="0.25"/>
    <row r="238" ht="41.25" customHeight="1" x14ac:dyDescent="0.25"/>
    <row r="239" ht="41.25" customHeight="1" x14ac:dyDescent="0.25"/>
    <row r="240" ht="41.25" customHeight="1" x14ac:dyDescent="0.25"/>
    <row r="241" ht="41.25" customHeight="1" x14ac:dyDescent="0.25"/>
    <row r="242" ht="41.25" customHeight="1" x14ac:dyDescent="0.25"/>
    <row r="243" ht="41.25" customHeight="1" x14ac:dyDescent="0.25"/>
    <row r="244" ht="41.25" customHeight="1" x14ac:dyDescent="0.25"/>
    <row r="245" ht="41.25" customHeight="1" x14ac:dyDescent="0.25"/>
    <row r="246" ht="41.25" customHeight="1" x14ac:dyDescent="0.25"/>
    <row r="247" ht="41.25" customHeight="1" x14ac:dyDescent="0.25"/>
    <row r="248" ht="41.25" customHeight="1" x14ac:dyDescent="0.25"/>
    <row r="249" ht="41.25" customHeight="1" x14ac:dyDescent="0.25"/>
    <row r="250" ht="41.25" customHeight="1" x14ac:dyDescent="0.25"/>
    <row r="251" ht="41.25" customHeight="1" x14ac:dyDescent="0.25"/>
    <row r="252" ht="41.25" customHeight="1" x14ac:dyDescent="0.25"/>
    <row r="253" ht="41.25" customHeight="1" x14ac:dyDescent="0.25"/>
    <row r="254" ht="41.25" customHeight="1" x14ac:dyDescent="0.25"/>
    <row r="255" ht="41.25" customHeight="1" x14ac:dyDescent="0.25"/>
    <row r="256" ht="41.25" customHeight="1" x14ac:dyDescent="0.25"/>
    <row r="257" ht="41.25" customHeight="1" x14ac:dyDescent="0.25"/>
    <row r="258" ht="41.25" customHeight="1" x14ac:dyDescent="0.25"/>
    <row r="259" ht="41.25" customHeight="1" x14ac:dyDescent="0.25"/>
    <row r="260" ht="41.25" customHeight="1" x14ac:dyDescent="0.25"/>
    <row r="261" ht="41.25" customHeight="1" x14ac:dyDescent="0.25"/>
    <row r="262" ht="41.25" customHeight="1" x14ac:dyDescent="0.25"/>
    <row r="263" ht="41.25" customHeight="1" x14ac:dyDescent="0.25"/>
    <row r="264" ht="41.25" customHeight="1" x14ac:dyDescent="0.25"/>
    <row r="265" ht="41.25" customHeight="1" x14ac:dyDescent="0.25"/>
    <row r="266" ht="41.25" customHeight="1" x14ac:dyDescent="0.25"/>
    <row r="267" ht="41.25" customHeight="1" x14ac:dyDescent="0.25"/>
    <row r="268" ht="41.25" customHeight="1" x14ac:dyDescent="0.25"/>
    <row r="269" ht="41.25" customHeight="1" x14ac:dyDescent="0.25"/>
    <row r="270" ht="41.25" customHeight="1" x14ac:dyDescent="0.25"/>
    <row r="271" ht="41.25" customHeight="1" x14ac:dyDescent="0.25"/>
    <row r="272" ht="41.25" customHeight="1" x14ac:dyDescent="0.25"/>
    <row r="273" ht="41.25" customHeight="1" x14ac:dyDescent="0.25"/>
    <row r="274" ht="41.25" customHeight="1" x14ac:dyDescent="0.25"/>
    <row r="275" ht="41.25" customHeight="1" x14ac:dyDescent="0.25"/>
    <row r="276" ht="41.25" customHeight="1" x14ac:dyDescent="0.25"/>
    <row r="277" ht="41.25" customHeight="1" x14ac:dyDescent="0.25"/>
    <row r="278" ht="41.25" customHeight="1" x14ac:dyDescent="0.25"/>
    <row r="279" ht="41.25" customHeight="1" x14ac:dyDescent="0.25"/>
    <row r="280" ht="41.25" customHeight="1" x14ac:dyDescent="0.25"/>
    <row r="281" ht="41.25" customHeight="1" x14ac:dyDescent="0.25"/>
    <row r="282" ht="41.25" customHeight="1" x14ac:dyDescent="0.25"/>
    <row r="283" ht="41.25" customHeight="1" x14ac:dyDescent="0.25"/>
    <row r="284" ht="41.25" customHeight="1" x14ac:dyDescent="0.25"/>
    <row r="285" ht="41.25" customHeight="1" x14ac:dyDescent="0.25"/>
    <row r="286" ht="41.25" customHeight="1" x14ac:dyDescent="0.25"/>
    <row r="287" ht="41.25" customHeight="1" x14ac:dyDescent="0.25"/>
    <row r="288" ht="41.25" customHeight="1" x14ac:dyDescent="0.25"/>
    <row r="289" ht="41.25" customHeight="1" x14ac:dyDescent="0.25"/>
    <row r="290" ht="41.25" customHeight="1" x14ac:dyDescent="0.25"/>
    <row r="291" ht="41.25" customHeight="1" x14ac:dyDescent="0.25"/>
    <row r="292" ht="41.25" customHeight="1" x14ac:dyDescent="0.25"/>
    <row r="293" ht="41.25" customHeight="1" x14ac:dyDescent="0.25"/>
    <row r="294" ht="41.25" customHeight="1" x14ac:dyDescent="0.25"/>
    <row r="295" ht="41.25" customHeight="1" x14ac:dyDescent="0.25"/>
    <row r="296" ht="41.25" customHeight="1" x14ac:dyDescent="0.25"/>
    <row r="297" ht="41.25" customHeight="1" x14ac:dyDescent="0.25"/>
    <row r="298" ht="41.25" customHeight="1" x14ac:dyDescent="0.25"/>
    <row r="299" ht="41.25" customHeight="1" x14ac:dyDescent="0.25"/>
    <row r="300" ht="41.25" customHeight="1" x14ac:dyDescent="0.25"/>
    <row r="301" ht="41.25" customHeight="1" x14ac:dyDescent="0.25"/>
    <row r="302" ht="41.25" customHeight="1" x14ac:dyDescent="0.25"/>
    <row r="303" ht="41.25" customHeight="1" x14ac:dyDescent="0.25"/>
    <row r="304" ht="41.25" customHeight="1" x14ac:dyDescent="0.25"/>
    <row r="305" ht="41.25" customHeight="1" x14ac:dyDescent="0.25"/>
    <row r="306" ht="41.25" customHeight="1" x14ac:dyDescent="0.25"/>
    <row r="307" ht="41.25" customHeight="1" x14ac:dyDescent="0.25"/>
    <row r="308" ht="41.25" customHeight="1" x14ac:dyDescent="0.25"/>
    <row r="309" ht="41.25" customHeight="1" x14ac:dyDescent="0.25"/>
    <row r="310" ht="41.25" customHeight="1" x14ac:dyDescent="0.25"/>
    <row r="311" ht="41.25" customHeight="1" x14ac:dyDescent="0.25"/>
    <row r="312" ht="41.25" customHeight="1" x14ac:dyDescent="0.25"/>
    <row r="313" ht="41.25" customHeight="1" x14ac:dyDescent="0.25"/>
    <row r="314" ht="41.25" customHeight="1" x14ac:dyDescent="0.25"/>
    <row r="315" ht="41.25" customHeight="1" x14ac:dyDescent="0.25"/>
    <row r="316" ht="41.25" customHeight="1" x14ac:dyDescent="0.25"/>
    <row r="317" ht="41.25" customHeight="1" x14ac:dyDescent="0.25"/>
    <row r="318" ht="41.25" customHeight="1" x14ac:dyDescent="0.25"/>
    <row r="319" ht="41.25" customHeight="1" x14ac:dyDescent="0.25"/>
    <row r="320" ht="41.25" customHeight="1" x14ac:dyDescent="0.25"/>
    <row r="321" ht="41.25" customHeight="1" x14ac:dyDescent="0.25"/>
    <row r="322" ht="41.25" customHeight="1" x14ac:dyDescent="0.25"/>
    <row r="323" ht="41.25" customHeight="1" x14ac:dyDescent="0.25"/>
    <row r="324" ht="41.25" customHeight="1" x14ac:dyDescent="0.25"/>
    <row r="325" ht="41.25" customHeight="1" x14ac:dyDescent="0.25"/>
    <row r="326" ht="41.25" customHeight="1" x14ac:dyDescent="0.25"/>
    <row r="327" ht="41.25" customHeight="1" x14ac:dyDescent="0.25"/>
    <row r="328" ht="41.25" customHeight="1" x14ac:dyDescent="0.25"/>
    <row r="329" ht="41.25" customHeight="1" x14ac:dyDescent="0.25"/>
    <row r="330" ht="41.25" customHeight="1" x14ac:dyDescent="0.25"/>
    <row r="331" ht="41.25" customHeight="1" x14ac:dyDescent="0.25"/>
    <row r="332" ht="41.25" customHeight="1" x14ac:dyDescent="0.25"/>
    <row r="333" ht="41.25" customHeight="1" x14ac:dyDescent="0.25"/>
    <row r="334" ht="41.25" customHeight="1" x14ac:dyDescent="0.25"/>
    <row r="335" ht="41.25" customHeight="1" x14ac:dyDescent="0.25"/>
    <row r="336" ht="41.25" customHeight="1" x14ac:dyDescent="0.25"/>
    <row r="337" ht="41.25" customHeight="1" x14ac:dyDescent="0.25"/>
    <row r="338" ht="41.25" customHeight="1" x14ac:dyDescent="0.25"/>
    <row r="339" ht="41.25" customHeight="1" x14ac:dyDescent="0.25"/>
    <row r="340" ht="41.25" customHeight="1" x14ac:dyDescent="0.25"/>
    <row r="341" ht="41.25" customHeight="1" x14ac:dyDescent="0.25"/>
    <row r="342" ht="41.25" customHeight="1" x14ac:dyDescent="0.25"/>
    <row r="343" ht="41.25" customHeight="1" x14ac:dyDescent="0.25"/>
    <row r="344" ht="41.25" customHeight="1" x14ac:dyDescent="0.25"/>
    <row r="345" ht="41.25" customHeight="1" x14ac:dyDescent="0.25"/>
    <row r="346" ht="41.25" customHeight="1" x14ac:dyDescent="0.25"/>
    <row r="347" ht="41.25" customHeight="1" x14ac:dyDescent="0.25"/>
    <row r="348" ht="41.25" customHeight="1" x14ac:dyDescent="0.25"/>
    <row r="349" ht="41.25" customHeight="1" x14ac:dyDescent="0.25"/>
    <row r="350" ht="41.25" customHeight="1" x14ac:dyDescent="0.25"/>
    <row r="351" ht="41.25" customHeight="1" x14ac:dyDescent="0.25"/>
    <row r="352" ht="41.25" customHeight="1" x14ac:dyDescent="0.25"/>
    <row r="353" ht="41.25" customHeight="1" x14ac:dyDescent="0.25"/>
    <row r="354" ht="41.25" customHeight="1" x14ac:dyDescent="0.25"/>
    <row r="355" ht="41.25" customHeight="1" x14ac:dyDescent="0.25"/>
    <row r="356" ht="41.25" customHeight="1" x14ac:dyDescent="0.25"/>
    <row r="357" ht="41.25" customHeight="1" x14ac:dyDescent="0.25"/>
    <row r="358" ht="41.25" customHeight="1" x14ac:dyDescent="0.25"/>
    <row r="359" ht="41.25" customHeight="1" x14ac:dyDescent="0.25"/>
    <row r="360" ht="41.25" customHeight="1" x14ac:dyDescent="0.25"/>
    <row r="361" ht="41.25" customHeight="1" x14ac:dyDescent="0.25"/>
    <row r="362" ht="41.25" customHeight="1" x14ac:dyDescent="0.25"/>
    <row r="363" ht="41.25" customHeight="1" x14ac:dyDescent="0.25"/>
    <row r="364" ht="41.25" customHeight="1" x14ac:dyDescent="0.25"/>
    <row r="365" ht="41.25" customHeight="1" x14ac:dyDescent="0.25"/>
    <row r="366" ht="41.25" customHeight="1" x14ac:dyDescent="0.25"/>
    <row r="367" ht="41.25" customHeight="1" x14ac:dyDescent="0.25"/>
    <row r="368" ht="41.25" customHeight="1" x14ac:dyDescent="0.25"/>
    <row r="369" ht="41.25" customHeight="1" x14ac:dyDescent="0.25"/>
    <row r="370" ht="41.25" customHeight="1" x14ac:dyDescent="0.25"/>
    <row r="371" ht="41.25" customHeight="1" x14ac:dyDescent="0.25"/>
    <row r="372" ht="41.25" customHeight="1" x14ac:dyDescent="0.25"/>
    <row r="373" ht="41.25" customHeight="1" x14ac:dyDescent="0.25"/>
    <row r="374" ht="41.25" customHeight="1" x14ac:dyDescent="0.25"/>
    <row r="375" ht="41.25" customHeight="1" x14ac:dyDescent="0.25"/>
    <row r="376" ht="41.25" customHeight="1" x14ac:dyDescent="0.25"/>
    <row r="377" ht="41.25" customHeight="1" x14ac:dyDescent="0.25"/>
    <row r="378" ht="41.25" customHeight="1" x14ac:dyDescent="0.25"/>
    <row r="379" ht="41.25" customHeight="1" x14ac:dyDescent="0.25"/>
    <row r="380" ht="41.25" customHeight="1" x14ac:dyDescent="0.25"/>
    <row r="381" ht="41.25" customHeight="1" x14ac:dyDescent="0.25"/>
    <row r="382" ht="41.25" customHeight="1" x14ac:dyDescent="0.25"/>
    <row r="383" ht="41.25" customHeight="1" x14ac:dyDescent="0.25"/>
    <row r="384" ht="41.25" customHeight="1" x14ac:dyDescent="0.25"/>
    <row r="385" ht="41.25" customHeight="1" x14ac:dyDescent="0.25"/>
    <row r="386" ht="41.25" customHeight="1" x14ac:dyDescent="0.25"/>
    <row r="387" ht="41.25" customHeight="1" x14ac:dyDescent="0.25"/>
    <row r="388" ht="41.25" customHeight="1" x14ac:dyDescent="0.25"/>
    <row r="389" ht="41.25" customHeight="1" x14ac:dyDescent="0.25"/>
    <row r="390" ht="41.25" customHeight="1" x14ac:dyDescent="0.25"/>
    <row r="391" ht="41.25" customHeight="1" x14ac:dyDescent="0.25"/>
    <row r="392" ht="41.25" customHeight="1" x14ac:dyDescent="0.25"/>
    <row r="393" ht="41.25" customHeight="1" x14ac:dyDescent="0.25"/>
    <row r="394" ht="41.25" customHeight="1" x14ac:dyDescent="0.25"/>
    <row r="395" ht="41.25" customHeight="1" x14ac:dyDescent="0.25"/>
    <row r="396" ht="41.25" customHeight="1" x14ac:dyDescent="0.25"/>
    <row r="397" ht="41.25" customHeight="1" x14ac:dyDescent="0.25"/>
    <row r="398" ht="41.25" customHeight="1" x14ac:dyDescent="0.25"/>
    <row r="399" ht="41.25" customHeight="1" x14ac:dyDescent="0.25"/>
    <row r="400" ht="41.25" customHeight="1" x14ac:dyDescent="0.25"/>
    <row r="401" ht="41.25" customHeight="1" x14ac:dyDescent="0.25"/>
    <row r="402" ht="41.25" customHeight="1" x14ac:dyDescent="0.25"/>
    <row r="403" ht="41.25" customHeight="1" x14ac:dyDescent="0.25"/>
    <row r="404" ht="41.25" customHeight="1" x14ac:dyDescent="0.25"/>
    <row r="405" ht="41.25" customHeight="1" x14ac:dyDescent="0.25"/>
    <row r="406" ht="41.25" customHeight="1" x14ac:dyDescent="0.25"/>
    <row r="407" ht="41.25" customHeight="1" x14ac:dyDescent="0.25"/>
    <row r="408" ht="41.25" customHeight="1" x14ac:dyDescent="0.25"/>
    <row r="409" ht="41.25" customHeight="1" x14ac:dyDescent="0.25"/>
    <row r="410" ht="41.25" customHeight="1" x14ac:dyDescent="0.25"/>
    <row r="411" ht="41.25" customHeight="1" x14ac:dyDescent="0.25"/>
    <row r="412" ht="38.25" customHeight="1" x14ac:dyDescent="0.25"/>
    <row r="413" ht="38.25" customHeight="1" x14ac:dyDescent="0.25"/>
    <row r="414" ht="38.25" customHeight="1" x14ac:dyDescent="0.25"/>
    <row r="415" ht="38.25" customHeight="1" x14ac:dyDescent="0.25"/>
    <row r="416" ht="38.25" customHeight="1" x14ac:dyDescent="0.25"/>
    <row r="417" ht="38.25" customHeight="1" x14ac:dyDescent="0.25"/>
    <row r="418" ht="38.25" customHeight="1" x14ac:dyDescent="0.25"/>
    <row r="419" ht="38.25" customHeight="1" x14ac:dyDescent="0.25"/>
    <row r="420" ht="38.25" customHeight="1" x14ac:dyDescent="0.25"/>
    <row r="421" ht="26.25" customHeight="1" x14ac:dyDescent="0.25"/>
    <row r="422" ht="26.25" customHeight="1" x14ac:dyDescent="0.25"/>
    <row r="423" ht="26.25" customHeight="1" x14ac:dyDescent="0.25"/>
    <row r="424" ht="26.25" customHeight="1" x14ac:dyDescent="0.25"/>
    <row r="425" ht="26.25" customHeight="1" x14ac:dyDescent="0.25"/>
    <row r="426" ht="26.25" customHeight="1" x14ac:dyDescent="0.25"/>
    <row r="427" ht="26.25" customHeight="1" x14ac:dyDescent="0.25"/>
    <row r="428" ht="26.25" customHeight="1" x14ac:dyDescent="0.25"/>
    <row r="429" ht="26.25" customHeight="1" x14ac:dyDescent="0.25"/>
  </sheetData>
  <conditionalFormatting sqref="A2:P20 A22:P22">
    <cfRule type="expression" dxfId="24" priority="1">
      <formula>$A2&lt;&gt;$A3</formula>
    </cfRule>
  </conditionalFormatting>
  <conditionalFormatting sqref="A21:P21">
    <cfRule type="expression" dxfId="23" priority="88">
      <formula>$A21&lt;&gt;#REF!</formula>
    </cfRule>
  </conditionalFormatting>
  <pageMargins left="0.25" right="0.25" top="0.75" bottom="0.75" header="0.3" footer="0.3"/>
  <pageSetup paperSize="8" scale="43" fitToHeight="0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/>
  <dimension ref="A1"/>
  <sheetViews>
    <sheetView workbookViewId="0">
      <selection activeCell="D54" sqref="D54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6:C23"/>
  <sheetViews>
    <sheetView workbookViewId="0">
      <selection activeCell="C48" sqref="C48:C49"/>
    </sheetView>
  </sheetViews>
  <sheetFormatPr defaultRowHeight="15" x14ac:dyDescent="0.25"/>
  <cols>
    <col min="1" max="1" width="17.28515625" bestFit="1" customWidth="1"/>
    <col min="2" max="2" width="25.5703125" bestFit="1" customWidth="1"/>
    <col min="3" max="62" width="26.85546875" bestFit="1" customWidth="1"/>
    <col min="63" max="63" width="30.28515625" bestFit="1" customWidth="1"/>
    <col min="64" max="64" width="31.5703125" bestFit="1" customWidth="1"/>
    <col min="65" max="65" width="8.85546875" bestFit="1" customWidth="1"/>
    <col min="66" max="68" width="8" bestFit="1" customWidth="1"/>
    <col min="69" max="69" width="7" bestFit="1" customWidth="1"/>
    <col min="70" max="71" width="8" bestFit="1" customWidth="1"/>
    <col min="72" max="72" width="7" bestFit="1" customWidth="1"/>
    <col min="73" max="92" width="8" bestFit="1" customWidth="1"/>
    <col min="93" max="93" width="7.85546875" bestFit="1" customWidth="1"/>
    <col min="94" max="94" width="7.140625" bestFit="1" customWidth="1"/>
    <col min="95" max="95" width="9" bestFit="1" customWidth="1"/>
    <col min="96" max="104" width="7.140625" bestFit="1" customWidth="1"/>
    <col min="105" max="105" width="11" bestFit="1" customWidth="1"/>
    <col min="106" max="108" width="13.140625" bestFit="1" customWidth="1"/>
    <col min="109" max="109" width="9.42578125" bestFit="1" customWidth="1"/>
    <col min="110" max="110" width="11.7109375" bestFit="1" customWidth="1"/>
    <col min="111" max="114" width="13.140625" bestFit="1" customWidth="1"/>
    <col min="115" max="115" width="4.140625" bestFit="1" customWidth="1"/>
    <col min="116" max="116" width="4.85546875" bestFit="1" customWidth="1"/>
    <col min="117" max="117" width="11.85546875" bestFit="1" customWidth="1"/>
  </cols>
  <sheetData>
    <row r="6" spans="1:3" x14ac:dyDescent="0.25">
      <c r="A6" s="7"/>
      <c r="B6" s="8"/>
      <c r="C6" s="9"/>
    </row>
    <row r="7" spans="1:3" x14ac:dyDescent="0.25">
      <c r="A7" s="10"/>
      <c r="B7" s="11"/>
      <c r="C7" s="12"/>
    </row>
    <row r="8" spans="1:3" x14ac:dyDescent="0.25">
      <c r="A8" s="10"/>
      <c r="B8" s="11"/>
      <c r="C8" s="12"/>
    </row>
    <row r="9" spans="1:3" x14ac:dyDescent="0.25">
      <c r="A9" s="10"/>
      <c r="B9" s="11"/>
      <c r="C9" s="12"/>
    </row>
    <row r="10" spans="1:3" x14ac:dyDescent="0.25">
      <c r="A10" s="10"/>
      <c r="B10" s="11"/>
      <c r="C10" s="12"/>
    </row>
    <row r="11" spans="1:3" x14ac:dyDescent="0.25">
      <c r="A11" s="10"/>
      <c r="B11" s="11"/>
      <c r="C11" s="12"/>
    </row>
    <row r="12" spans="1:3" x14ac:dyDescent="0.25">
      <c r="A12" s="10"/>
      <c r="B12" s="11"/>
      <c r="C12" s="12"/>
    </row>
    <row r="13" spans="1:3" x14ac:dyDescent="0.25">
      <c r="A13" s="10"/>
      <c r="B13" s="11"/>
      <c r="C13" s="12"/>
    </row>
    <row r="14" spans="1:3" x14ac:dyDescent="0.25">
      <c r="A14" s="10"/>
      <c r="B14" s="11"/>
      <c r="C14" s="12"/>
    </row>
    <row r="15" spans="1:3" x14ac:dyDescent="0.25">
      <c r="A15" s="10"/>
      <c r="B15" s="11"/>
      <c r="C15" s="12"/>
    </row>
    <row r="16" spans="1:3" x14ac:dyDescent="0.25">
      <c r="A16" s="10"/>
      <c r="B16" s="11"/>
      <c r="C16" s="12"/>
    </row>
    <row r="17" spans="1:3" x14ac:dyDescent="0.25">
      <c r="A17" s="10"/>
      <c r="B17" s="11"/>
      <c r="C17" s="12"/>
    </row>
    <row r="18" spans="1:3" x14ac:dyDescent="0.25">
      <c r="A18" s="10"/>
      <c r="B18" s="11"/>
      <c r="C18" s="12"/>
    </row>
    <row r="19" spans="1:3" x14ac:dyDescent="0.25">
      <c r="A19" s="10"/>
      <c r="B19" s="11"/>
      <c r="C19" s="12"/>
    </row>
    <row r="20" spans="1:3" x14ac:dyDescent="0.25">
      <c r="A20" s="10"/>
      <c r="B20" s="11"/>
      <c r="C20" s="12"/>
    </row>
    <row r="21" spans="1:3" x14ac:dyDescent="0.25">
      <c r="A21" s="10"/>
      <c r="B21" s="11"/>
      <c r="C21" s="12"/>
    </row>
    <row r="22" spans="1:3" x14ac:dyDescent="0.25">
      <c r="A22" s="10"/>
      <c r="B22" s="11"/>
      <c r="C22" s="12"/>
    </row>
    <row r="23" spans="1:3" x14ac:dyDescent="0.25">
      <c r="A23" s="13"/>
      <c r="B23" s="14"/>
      <c r="C23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34B5-3D05-411F-AF33-C341788DD6FD}">
  <dimension ref="A1:BE303"/>
  <sheetViews>
    <sheetView showGridLines="0" topLeftCell="A220" workbookViewId="0">
      <selection activeCell="B246" sqref="B1:B1048576"/>
    </sheetView>
  </sheetViews>
  <sheetFormatPr defaultRowHeight="15" x14ac:dyDescent="0.25"/>
  <cols>
    <col min="1" max="1" width="10.140625" customWidth="1"/>
    <col min="2" max="2" width="12.7109375" customWidth="1"/>
    <col min="3" max="3" width="3.42578125" customWidth="1"/>
    <col min="4" max="4" width="3.28515625" customWidth="1"/>
    <col min="5" max="5" width="3.42578125" customWidth="1"/>
    <col min="6" max="6" width="5" customWidth="1"/>
    <col min="7" max="7" width="2.85546875" customWidth="1"/>
    <col min="8" max="8" width="3.5703125" customWidth="1"/>
    <col min="9" max="9" width="3.7109375" customWidth="1"/>
    <col min="10" max="10" width="3.28515625" customWidth="1"/>
    <col min="11" max="11" width="6.42578125" customWidth="1"/>
    <col min="12" max="12" width="8.28515625" customWidth="1"/>
    <col min="13" max="13" width="0.28515625" customWidth="1"/>
    <col min="14" max="14" width="19.28515625" customWidth="1"/>
    <col min="15" max="15" width="17.140625" customWidth="1"/>
    <col min="16" max="16" width="7.42578125" customWidth="1"/>
    <col min="17" max="17" width="9.28515625" customWidth="1"/>
    <col min="18" max="18" width="49.42578125" customWidth="1"/>
    <col min="19" max="22" width="9.42578125" customWidth="1"/>
    <col min="23" max="23" width="22.28515625" customWidth="1"/>
    <col min="24" max="24" width="18" customWidth="1"/>
    <col min="25" max="25" width="12.140625" customWidth="1"/>
    <col min="26" max="26" width="5.42578125" customWidth="1"/>
    <col min="27" max="27" width="14.5703125" customWidth="1"/>
    <col min="28" max="28" width="18.7109375" customWidth="1"/>
    <col min="29" max="29" width="8.85546875" customWidth="1"/>
    <col min="30" max="30" width="9.28515625" customWidth="1"/>
    <col min="31" max="31" width="8.85546875" customWidth="1"/>
    <col min="32" max="32" width="13.7109375" customWidth="1"/>
    <col min="33" max="33" width="5.5703125" customWidth="1"/>
    <col min="34" max="34" width="5.7109375" customWidth="1"/>
    <col min="35" max="35" width="4.85546875" customWidth="1"/>
    <col min="36" max="37" width="5" customWidth="1"/>
    <col min="38" max="38" width="4.85546875" customWidth="1"/>
    <col min="39" max="39" width="5" customWidth="1"/>
    <col min="40" max="40" width="5.28515625" customWidth="1"/>
    <col min="41" max="41" width="9.7109375" customWidth="1"/>
    <col min="42" max="42" width="10" customWidth="1"/>
    <col min="45" max="45" width="10.28515625" customWidth="1"/>
    <col min="46" max="46" width="10.7109375" customWidth="1"/>
    <col min="47" max="47" width="10.28515625" customWidth="1"/>
    <col min="48" max="48" width="10.5703125" customWidth="1"/>
    <col min="49" max="49" width="10.42578125" customWidth="1"/>
    <col min="50" max="50" width="10.5703125" customWidth="1"/>
    <col min="51" max="51" width="10.42578125" customWidth="1"/>
    <col min="52" max="52" width="10.5703125" customWidth="1"/>
    <col min="53" max="53" width="10.42578125" customWidth="1"/>
    <col min="54" max="54" width="10.5703125" customWidth="1"/>
    <col min="55" max="55" width="10.28515625" customWidth="1"/>
    <col min="257" max="257" width="10.140625" customWidth="1"/>
    <col min="258" max="258" width="12.7109375" customWidth="1"/>
    <col min="259" max="259" width="3.42578125" customWidth="1"/>
    <col min="260" max="260" width="3.28515625" customWidth="1"/>
    <col min="261" max="261" width="3.42578125" customWidth="1"/>
    <col min="262" max="262" width="5" customWidth="1"/>
    <col min="263" max="263" width="2.85546875" customWidth="1"/>
    <col min="264" max="264" width="3.5703125" customWidth="1"/>
    <col min="265" max="265" width="3.7109375" customWidth="1"/>
    <col min="266" max="266" width="3.28515625" customWidth="1"/>
    <col min="267" max="267" width="6.42578125" customWidth="1"/>
    <col min="268" max="268" width="8.28515625" customWidth="1"/>
    <col min="269" max="269" width="0.28515625" customWidth="1"/>
    <col min="270" max="270" width="19.28515625" customWidth="1"/>
    <col min="271" max="271" width="17.140625" customWidth="1"/>
    <col min="272" max="272" width="7.42578125" customWidth="1"/>
    <col min="273" max="273" width="9.28515625" customWidth="1"/>
    <col min="274" max="274" width="49.42578125" customWidth="1"/>
    <col min="275" max="278" width="9.42578125" customWidth="1"/>
    <col min="279" max="279" width="22.28515625" customWidth="1"/>
    <col min="280" max="280" width="18" customWidth="1"/>
    <col min="281" max="281" width="12.140625" customWidth="1"/>
    <col min="282" max="282" width="5.42578125" customWidth="1"/>
    <col min="283" max="283" width="14.5703125" customWidth="1"/>
    <col min="284" max="284" width="18.7109375" customWidth="1"/>
    <col min="285" max="285" width="8.85546875" customWidth="1"/>
    <col min="286" max="286" width="9.28515625" customWidth="1"/>
    <col min="287" max="287" width="8.85546875" customWidth="1"/>
    <col min="288" max="288" width="13.7109375" customWidth="1"/>
    <col min="289" max="289" width="5.5703125" customWidth="1"/>
    <col min="290" max="290" width="5.7109375" customWidth="1"/>
    <col min="291" max="291" width="4.85546875" customWidth="1"/>
    <col min="292" max="293" width="5" customWidth="1"/>
    <col min="294" max="294" width="4.85546875" customWidth="1"/>
    <col min="295" max="295" width="5" customWidth="1"/>
    <col min="296" max="296" width="5.28515625" customWidth="1"/>
    <col min="297" max="297" width="9.7109375" customWidth="1"/>
    <col min="298" max="298" width="10" customWidth="1"/>
    <col min="301" max="301" width="10.28515625" customWidth="1"/>
    <col min="302" max="302" width="10.7109375" customWidth="1"/>
    <col min="303" max="303" width="10.28515625" customWidth="1"/>
    <col min="304" max="304" width="10.5703125" customWidth="1"/>
    <col min="305" max="305" width="10.42578125" customWidth="1"/>
    <col min="306" max="306" width="10.5703125" customWidth="1"/>
    <col min="307" max="307" width="10.42578125" customWidth="1"/>
    <col min="308" max="308" width="10.5703125" customWidth="1"/>
    <col min="309" max="309" width="10.42578125" customWidth="1"/>
    <col min="310" max="310" width="10.5703125" customWidth="1"/>
    <col min="311" max="311" width="10.28515625" customWidth="1"/>
    <col min="513" max="513" width="10.140625" customWidth="1"/>
    <col min="514" max="514" width="12.7109375" customWidth="1"/>
    <col min="515" max="515" width="3.42578125" customWidth="1"/>
    <col min="516" max="516" width="3.28515625" customWidth="1"/>
    <col min="517" max="517" width="3.42578125" customWidth="1"/>
    <col min="518" max="518" width="5" customWidth="1"/>
    <col min="519" max="519" width="2.85546875" customWidth="1"/>
    <col min="520" max="520" width="3.5703125" customWidth="1"/>
    <col min="521" max="521" width="3.7109375" customWidth="1"/>
    <col min="522" max="522" width="3.28515625" customWidth="1"/>
    <col min="523" max="523" width="6.42578125" customWidth="1"/>
    <col min="524" max="524" width="8.28515625" customWidth="1"/>
    <col min="525" max="525" width="0.28515625" customWidth="1"/>
    <col min="526" max="526" width="19.28515625" customWidth="1"/>
    <col min="527" max="527" width="17.140625" customWidth="1"/>
    <col min="528" max="528" width="7.42578125" customWidth="1"/>
    <col min="529" max="529" width="9.28515625" customWidth="1"/>
    <col min="530" max="530" width="49.42578125" customWidth="1"/>
    <col min="531" max="534" width="9.42578125" customWidth="1"/>
    <col min="535" max="535" width="22.28515625" customWidth="1"/>
    <col min="536" max="536" width="18" customWidth="1"/>
    <col min="537" max="537" width="12.140625" customWidth="1"/>
    <col min="538" max="538" width="5.42578125" customWidth="1"/>
    <col min="539" max="539" width="14.5703125" customWidth="1"/>
    <col min="540" max="540" width="18.7109375" customWidth="1"/>
    <col min="541" max="541" width="8.85546875" customWidth="1"/>
    <col min="542" max="542" width="9.28515625" customWidth="1"/>
    <col min="543" max="543" width="8.85546875" customWidth="1"/>
    <col min="544" max="544" width="13.7109375" customWidth="1"/>
    <col min="545" max="545" width="5.5703125" customWidth="1"/>
    <col min="546" max="546" width="5.7109375" customWidth="1"/>
    <col min="547" max="547" width="4.85546875" customWidth="1"/>
    <col min="548" max="549" width="5" customWidth="1"/>
    <col min="550" max="550" width="4.85546875" customWidth="1"/>
    <col min="551" max="551" width="5" customWidth="1"/>
    <col min="552" max="552" width="5.28515625" customWidth="1"/>
    <col min="553" max="553" width="9.7109375" customWidth="1"/>
    <col min="554" max="554" width="10" customWidth="1"/>
    <col min="557" max="557" width="10.28515625" customWidth="1"/>
    <col min="558" max="558" width="10.7109375" customWidth="1"/>
    <col min="559" max="559" width="10.28515625" customWidth="1"/>
    <col min="560" max="560" width="10.5703125" customWidth="1"/>
    <col min="561" max="561" width="10.42578125" customWidth="1"/>
    <col min="562" max="562" width="10.5703125" customWidth="1"/>
    <col min="563" max="563" width="10.42578125" customWidth="1"/>
    <col min="564" max="564" width="10.5703125" customWidth="1"/>
    <col min="565" max="565" width="10.42578125" customWidth="1"/>
    <col min="566" max="566" width="10.5703125" customWidth="1"/>
    <col min="567" max="567" width="10.28515625" customWidth="1"/>
    <col min="769" max="769" width="10.140625" customWidth="1"/>
    <col min="770" max="770" width="12.7109375" customWidth="1"/>
    <col min="771" max="771" width="3.42578125" customWidth="1"/>
    <col min="772" max="772" width="3.28515625" customWidth="1"/>
    <col min="773" max="773" width="3.42578125" customWidth="1"/>
    <col min="774" max="774" width="5" customWidth="1"/>
    <col min="775" max="775" width="2.85546875" customWidth="1"/>
    <col min="776" max="776" width="3.5703125" customWidth="1"/>
    <col min="777" max="777" width="3.7109375" customWidth="1"/>
    <col min="778" max="778" width="3.28515625" customWidth="1"/>
    <col min="779" max="779" width="6.42578125" customWidth="1"/>
    <col min="780" max="780" width="8.28515625" customWidth="1"/>
    <col min="781" max="781" width="0.28515625" customWidth="1"/>
    <col min="782" max="782" width="19.28515625" customWidth="1"/>
    <col min="783" max="783" width="17.140625" customWidth="1"/>
    <col min="784" max="784" width="7.42578125" customWidth="1"/>
    <col min="785" max="785" width="9.28515625" customWidth="1"/>
    <col min="786" max="786" width="49.42578125" customWidth="1"/>
    <col min="787" max="790" width="9.42578125" customWidth="1"/>
    <col min="791" max="791" width="22.28515625" customWidth="1"/>
    <col min="792" max="792" width="18" customWidth="1"/>
    <col min="793" max="793" width="12.140625" customWidth="1"/>
    <col min="794" max="794" width="5.42578125" customWidth="1"/>
    <col min="795" max="795" width="14.5703125" customWidth="1"/>
    <col min="796" max="796" width="18.7109375" customWidth="1"/>
    <col min="797" max="797" width="8.85546875" customWidth="1"/>
    <col min="798" max="798" width="9.28515625" customWidth="1"/>
    <col min="799" max="799" width="8.85546875" customWidth="1"/>
    <col min="800" max="800" width="13.7109375" customWidth="1"/>
    <col min="801" max="801" width="5.5703125" customWidth="1"/>
    <col min="802" max="802" width="5.7109375" customWidth="1"/>
    <col min="803" max="803" width="4.85546875" customWidth="1"/>
    <col min="804" max="805" width="5" customWidth="1"/>
    <col min="806" max="806" width="4.85546875" customWidth="1"/>
    <col min="807" max="807" width="5" customWidth="1"/>
    <col min="808" max="808" width="5.28515625" customWidth="1"/>
    <col min="809" max="809" width="9.7109375" customWidth="1"/>
    <col min="810" max="810" width="10" customWidth="1"/>
    <col min="813" max="813" width="10.28515625" customWidth="1"/>
    <col min="814" max="814" width="10.7109375" customWidth="1"/>
    <col min="815" max="815" width="10.28515625" customWidth="1"/>
    <col min="816" max="816" width="10.5703125" customWidth="1"/>
    <col min="817" max="817" width="10.42578125" customWidth="1"/>
    <col min="818" max="818" width="10.5703125" customWidth="1"/>
    <col min="819" max="819" width="10.42578125" customWidth="1"/>
    <col min="820" max="820" width="10.5703125" customWidth="1"/>
    <col min="821" max="821" width="10.42578125" customWidth="1"/>
    <col min="822" max="822" width="10.5703125" customWidth="1"/>
    <col min="823" max="823" width="10.28515625" customWidth="1"/>
    <col min="1025" max="1025" width="10.140625" customWidth="1"/>
    <col min="1026" max="1026" width="12.7109375" customWidth="1"/>
    <col min="1027" max="1027" width="3.42578125" customWidth="1"/>
    <col min="1028" max="1028" width="3.28515625" customWidth="1"/>
    <col min="1029" max="1029" width="3.42578125" customWidth="1"/>
    <col min="1030" max="1030" width="5" customWidth="1"/>
    <col min="1031" max="1031" width="2.85546875" customWidth="1"/>
    <col min="1032" max="1032" width="3.5703125" customWidth="1"/>
    <col min="1033" max="1033" width="3.7109375" customWidth="1"/>
    <col min="1034" max="1034" width="3.28515625" customWidth="1"/>
    <col min="1035" max="1035" width="6.42578125" customWidth="1"/>
    <col min="1036" max="1036" width="8.28515625" customWidth="1"/>
    <col min="1037" max="1037" width="0.28515625" customWidth="1"/>
    <col min="1038" max="1038" width="19.28515625" customWidth="1"/>
    <col min="1039" max="1039" width="17.140625" customWidth="1"/>
    <col min="1040" max="1040" width="7.42578125" customWidth="1"/>
    <col min="1041" max="1041" width="9.28515625" customWidth="1"/>
    <col min="1042" max="1042" width="49.42578125" customWidth="1"/>
    <col min="1043" max="1046" width="9.42578125" customWidth="1"/>
    <col min="1047" max="1047" width="22.28515625" customWidth="1"/>
    <col min="1048" max="1048" width="18" customWidth="1"/>
    <col min="1049" max="1049" width="12.140625" customWidth="1"/>
    <col min="1050" max="1050" width="5.42578125" customWidth="1"/>
    <col min="1051" max="1051" width="14.5703125" customWidth="1"/>
    <col min="1052" max="1052" width="18.7109375" customWidth="1"/>
    <col min="1053" max="1053" width="8.85546875" customWidth="1"/>
    <col min="1054" max="1054" width="9.28515625" customWidth="1"/>
    <col min="1055" max="1055" width="8.85546875" customWidth="1"/>
    <col min="1056" max="1056" width="13.7109375" customWidth="1"/>
    <col min="1057" max="1057" width="5.5703125" customWidth="1"/>
    <col min="1058" max="1058" width="5.7109375" customWidth="1"/>
    <col min="1059" max="1059" width="4.85546875" customWidth="1"/>
    <col min="1060" max="1061" width="5" customWidth="1"/>
    <col min="1062" max="1062" width="4.85546875" customWidth="1"/>
    <col min="1063" max="1063" width="5" customWidth="1"/>
    <col min="1064" max="1064" width="5.28515625" customWidth="1"/>
    <col min="1065" max="1065" width="9.7109375" customWidth="1"/>
    <col min="1066" max="1066" width="10" customWidth="1"/>
    <col min="1069" max="1069" width="10.28515625" customWidth="1"/>
    <col min="1070" max="1070" width="10.7109375" customWidth="1"/>
    <col min="1071" max="1071" width="10.28515625" customWidth="1"/>
    <col min="1072" max="1072" width="10.5703125" customWidth="1"/>
    <col min="1073" max="1073" width="10.42578125" customWidth="1"/>
    <col min="1074" max="1074" width="10.5703125" customWidth="1"/>
    <col min="1075" max="1075" width="10.42578125" customWidth="1"/>
    <col min="1076" max="1076" width="10.5703125" customWidth="1"/>
    <col min="1077" max="1077" width="10.42578125" customWidth="1"/>
    <col min="1078" max="1078" width="10.5703125" customWidth="1"/>
    <col min="1079" max="1079" width="10.28515625" customWidth="1"/>
    <col min="1281" max="1281" width="10.140625" customWidth="1"/>
    <col min="1282" max="1282" width="12.7109375" customWidth="1"/>
    <col min="1283" max="1283" width="3.42578125" customWidth="1"/>
    <col min="1284" max="1284" width="3.28515625" customWidth="1"/>
    <col min="1285" max="1285" width="3.42578125" customWidth="1"/>
    <col min="1286" max="1286" width="5" customWidth="1"/>
    <col min="1287" max="1287" width="2.85546875" customWidth="1"/>
    <col min="1288" max="1288" width="3.5703125" customWidth="1"/>
    <col min="1289" max="1289" width="3.7109375" customWidth="1"/>
    <col min="1290" max="1290" width="3.28515625" customWidth="1"/>
    <col min="1291" max="1291" width="6.42578125" customWidth="1"/>
    <col min="1292" max="1292" width="8.28515625" customWidth="1"/>
    <col min="1293" max="1293" width="0.28515625" customWidth="1"/>
    <col min="1294" max="1294" width="19.28515625" customWidth="1"/>
    <col min="1295" max="1295" width="17.140625" customWidth="1"/>
    <col min="1296" max="1296" width="7.42578125" customWidth="1"/>
    <col min="1297" max="1297" width="9.28515625" customWidth="1"/>
    <col min="1298" max="1298" width="49.42578125" customWidth="1"/>
    <col min="1299" max="1302" width="9.42578125" customWidth="1"/>
    <col min="1303" max="1303" width="22.28515625" customWidth="1"/>
    <col min="1304" max="1304" width="18" customWidth="1"/>
    <col min="1305" max="1305" width="12.140625" customWidth="1"/>
    <col min="1306" max="1306" width="5.42578125" customWidth="1"/>
    <col min="1307" max="1307" width="14.5703125" customWidth="1"/>
    <col min="1308" max="1308" width="18.7109375" customWidth="1"/>
    <col min="1309" max="1309" width="8.85546875" customWidth="1"/>
    <col min="1310" max="1310" width="9.28515625" customWidth="1"/>
    <col min="1311" max="1311" width="8.85546875" customWidth="1"/>
    <col min="1312" max="1312" width="13.7109375" customWidth="1"/>
    <col min="1313" max="1313" width="5.5703125" customWidth="1"/>
    <col min="1314" max="1314" width="5.7109375" customWidth="1"/>
    <col min="1315" max="1315" width="4.85546875" customWidth="1"/>
    <col min="1316" max="1317" width="5" customWidth="1"/>
    <col min="1318" max="1318" width="4.85546875" customWidth="1"/>
    <col min="1319" max="1319" width="5" customWidth="1"/>
    <col min="1320" max="1320" width="5.28515625" customWidth="1"/>
    <col min="1321" max="1321" width="9.7109375" customWidth="1"/>
    <col min="1322" max="1322" width="10" customWidth="1"/>
    <col min="1325" max="1325" width="10.28515625" customWidth="1"/>
    <col min="1326" max="1326" width="10.7109375" customWidth="1"/>
    <col min="1327" max="1327" width="10.28515625" customWidth="1"/>
    <col min="1328" max="1328" width="10.5703125" customWidth="1"/>
    <col min="1329" max="1329" width="10.42578125" customWidth="1"/>
    <col min="1330" max="1330" width="10.5703125" customWidth="1"/>
    <col min="1331" max="1331" width="10.42578125" customWidth="1"/>
    <col min="1332" max="1332" width="10.5703125" customWidth="1"/>
    <col min="1333" max="1333" width="10.42578125" customWidth="1"/>
    <col min="1334" max="1334" width="10.5703125" customWidth="1"/>
    <col min="1335" max="1335" width="10.28515625" customWidth="1"/>
    <col min="1537" max="1537" width="10.140625" customWidth="1"/>
    <col min="1538" max="1538" width="12.7109375" customWidth="1"/>
    <col min="1539" max="1539" width="3.42578125" customWidth="1"/>
    <col min="1540" max="1540" width="3.28515625" customWidth="1"/>
    <col min="1541" max="1541" width="3.42578125" customWidth="1"/>
    <col min="1542" max="1542" width="5" customWidth="1"/>
    <col min="1543" max="1543" width="2.85546875" customWidth="1"/>
    <col min="1544" max="1544" width="3.5703125" customWidth="1"/>
    <col min="1545" max="1545" width="3.7109375" customWidth="1"/>
    <col min="1546" max="1546" width="3.28515625" customWidth="1"/>
    <col min="1547" max="1547" width="6.42578125" customWidth="1"/>
    <col min="1548" max="1548" width="8.28515625" customWidth="1"/>
    <col min="1549" max="1549" width="0.28515625" customWidth="1"/>
    <col min="1550" max="1550" width="19.28515625" customWidth="1"/>
    <col min="1551" max="1551" width="17.140625" customWidth="1"/>
    <col min="1552" max="1552" width="7.42578125" customWidth="1"/>
    <col min="1553" max="1553" width="9.28515625" customWidth="1"/>
    <col min="1554" max="1554" width="49.42578125" customWidth="1"/>
    <col min="1555" max="1558" width="9.42578125" customWidth="1"/>
    <col min="1559" max="1559" width="22.28515625" customWidth="1"/>
    <col min="1560" max="1560" width="18" customWidth="1"/>
    <col min="1561" max="1561" width="12.140625" customWidth="1"/>
    <col min="1562" max="1562" width="5.42578125" customWidth="1"/>
    <col min="1563" max="1563" width="14.5703125" customWidth="1"/>
    <col min="1564" max="1564" width="18.7109375" customWidth="1"/>
    <col min="1565" max="1565" width="8.85546875" customWidth="1"/>
    <col min="1566" max="1566" width="9.28515625" customWidth="1"/>
    <col min="1567" max="1567" width="8.85546875" customWidth="1"/>
    <col min="1568" max="1568" width="13.7109375" customWidth="1"/>
    <col min="1569" max="1569" width="5.5703125" customWidth="1"/>
    <col min="1570" max="1570" width="5.7109375" customWidth="1"/>
    <col min="1571" max="1571" width="4.85546875" customWidth="1"/>
    <col min="1572" max="1573" width="5" customWidth="1"/>
    <col min="1574" max="1574" width="4.85546875" customWidth="1"/>
    <col min="1575" max="1575" width="5" customWidth="1"/>
    <col min="1576" max="1576" width="5.28515625" customWidth="1"/>
    <col min="1577" max="1577" width="9.7109375" customWidth="1"/>
    <col min="1578" max="1578" width="10" customWidth="1"/>
    <col min="1581" max="1581" width="10.28515625" customWidth="1"/>
    <col min="1582" max="1582" width="10.7109375" customWidth="1"/>
    <col min="1583" max="1583" width="10.28515625" customWidth="1"/>
    <col min="1584" max="1584" width="10.5703125" customWidth="1"/>
    <col min="1585" max="1585" width="10.42578125" customWidth="1"/>
    <col min="1586" max="1586" width="10.5703125" customWidth="1"/>
    <col min="1587" max="1587" width="10.42578125" customWidth="1"/>
    <col min="1588" max="1588" width="10.5703125" customWidth="1"/>
    <col min="1589" max="1589" width="10.42578125" customWidth="1"/>
    <col min="1590" max="1590" width="10.5703125" customWidth="1"/>
    <col min="1591" max="1591" width="10.28515625" customWidth="1"/>
    <col min="1793" max="1793" width="10.140625" customWidth="1"/>
    <col min="1794" max="1794" width="12.7109375" customWidth="1"/>
    <col min="1795" max="1795" width="3.42578125" customWidth="1"/>
    <col min="1796" max="1796" width="3.28515625" customWidth="1"/>
    <col min="1797" max="1797" width="3.42578125" customWidth="1"/>
    <col min="1798" max="1798" width="5" customWidth="1"/>
    <col min="1799" max="1799" width="2.85546875" customWidth="1"/>
    <col min="1800" max="1800" width="3.5703125" customWidth="1"/>
    <col min="1801" max="1801" width="3.7109375" customWidth="1"/>
    <col min="1802" max="1802" width="3.28515625" customWidth="1"/>
    <col min="1803" max="1803" width="6.42578125" customWidth="1"/>
    <col min="1804" max="1804" width="8.28515625" customWidth="1"/>
    <col min="1805" max="1805" width="0.28515625" customWidth="1"/>
    <col min="1806" max="1806" width="19.28515625" customWidth="1"/>
    <col min="1807" max="1807" width="17.140625" customWidth="1"/>
    <col min="1808" max="1808" width="7.42578125" customWidth="1"/>
    <col min="1809" max="1809" width="9.28515625" customWidth="1"/>
    <col min="1810" max="1810" width="49.42578125" customWidth="1"/>
    <col min="1811" max="1814" width="9.42578125" customWidth="1"/>
    <col min="1815" max="1815" width="22.28515625" customWidth="1"/>
    <col min="1816" max="1816" width="18" customWidth="1"/>
    <col min="1817" max="1817" width="12.140625" customWidth="1"/>
    <col min="1818" max="1818" width="5.42578125" customWidth="1"/>
    <col min="1819" max="1819" width="14.5703125" customWidth="1"/>
    <col min="1820" max="1820" width="18.7109375" customWidth="1"/>
    <col min="1821" max="1821" width="8.85546875" customWidth="1"/>
    <col min="1822" max="1822" width="9.28515625" customWidth="1"/>
    <col min="1823" max="1823" width="8.85546875" customWidth="1"/>
    <col min="1824" max="1824" width="13.7109375" customWidth="1"/>
    <col min="1825" max="1825" width="5.5703125" customWidth="1"/>
    <col min="1826" max="1826" width="5.7109375" customWidth="1"/>
    <col min="1827" max="1827" width="4.85546875" customWidth="1"/>
    <col min="1828" max="1829" width="5" customWidth="1"/>
    <col min="1830" max="1830" width="4.85546875" customWidth="1"/>
    <col min="1831" max="1831" width="5" customWidth="1"/>
    <col min="1832" max="1832" width="5.28515625" customWidth="1"/>
    <col min="1833" max="1833" width="9.7109375" customWidth="1"/>
    <col min="1834" max="1834" width="10" customWidth="1"/>
    <col min="1837" max="1837" width="10.28515625" customWidth="1"/>
    <col min="1838" max="1838" width="10.7109375" customWidth="1"/>
    <col min="1839" max="1839" width="10.28515625" customWidth="1"/>
    <col min="1840" max="1840" width="10.5703125" customWidth="1"/>
    <col min="1841" max="1841" width="10.42578125" customWidth="1"/>
    <col min="1842" max="1842" width="10.5703125" customWidth="1"/>
    <col min="1843" max="1843" width="10.42578125" customWidth="1"/>
    <col min="1844" max="1844" width="10.5703125" customWidth="1"/>
    <col min="1845" max="1845" width="10.42578125" customWidth="1"/>
    <col min="1846" max="1846" width="10.5703125" customWidth="1"/>
    <col min="1847" max="1847" width="10.28515625" customWidth="1"/>
    <col min="2049" max="2049" width="10.140625" customWidth="1"/>
    <col min="2050" max="2050" width="12.7109375" customWidth="1"/>
    <col min="2051" max="2051" width="3.42578125" customWidth="1"/>
    <col min="2052" max="2052" width="3.28515625" customWidth="1"/>
    <col min="2053" max="2053" width="3.42578125" customWidth="1"/>
    <col min="2054" max="2054" width="5" customWidth="1"/>
    <col min="2055" max="2055" width="2.85546875" customWidth="1"/>
    <col min="2056" max="2056" width="3.5703125" customWidth="1"/>
    <col min="2057" max="2057" width="3.7109375" customWidth="1"/>
    <col min="2058" max="2058" width="3.28515625" customWidth="1"/>
    <col min="2059" max="2059" width="6.42578125" customWidth="1"/>
    <col min="2060" max="2060" width="8.28515625" customWidth="1"/>
    <col min="2061" max="2061" width="0.28515625" customWidth="1"/>
    <col min="2062" max="2062" width="19.28515625" customWidth="1"/>
    <col min="2063" max="2063" width="17.140625" customWidth="1"/>
    <col min="2064" max="2064" width="7.42578125" customWidth="1"/>
    <col min="2065" max="2065" width="9.28515625" customWidth="1"/>
    <col min="2066" max="2066" width="49.42578125" customWidth="1"/>
    <col min="2067" max="2070" width="9.42578125" customWidth="1"/>
    <col min="2071" max="2071" width="22.28515625" customWidth="1"/>
    <col min="2072" max="2072" width="18" customWidth="1"/>
    <col min="2073" max="2073" width="12.140625" customWidth="1"/>
    <col min="2074" max="2074" width="5.42578125" customWidth="1"/>
    <col min="2075" max="2075" width="14.5703125" customWidth="1"/>
    <col min="2076" max="2076" width="18.7109375" customWidth="1"/>
    <col min="2077" max="2077" width="8.85546875" customWidth="1"/>
    <col min="2078" max="2078" width="9.28515625" customWidth="1"/>
    <col min="2079" max="2079" width="8.85546875" customWidth="1"/>
    <col min="2080" max="2080" width="13.7109375" customWidth="1"/>
    <col min="2081" max="2081" width="5.5703125" customWidth="1"/>
    <col min="2082" max="2082" width="5.7109375" customWidth="1"/>
    <col min="2083" max="2083" width="4.85546875" customWidth="1"/>
    <col min="2084" max="2085" width="5" customWidth="1"/>
    <col min="2086" max="2086" width="4.85546875" customWidth="1"/>
    <col min="2087" max="2087" width="5" customWidth="1"/>
    <col min="2088" max="2088" width="5.28515625" customWidth="1"/>
    <col min="2089" max="2089" width="9.7109375" customWidth="1"/>
    <col min="2090" max="2090" width="10" customWidth="1"/>
    <col min="2093" max="2093" width="10.28515625" customWidth="1"/>
    <col min="2094" max="2094" width="10.7109375" customWidth="1"/>
    <col min="2095" max="2095" width="10.28515625" customWidth="1"/>
    <col min="2096" max="2096" width="10.5703125" customWidth="1"/>
    <col min="2097" max="2097" width="10.42578125" customWidth="1"/>
    <col min="2098" max="2098" width="10.5703125" customWidth="1"/>
    <col min="2099" max="2099" width="10.42578125" customWidth="1"/>
    <col min="2100" max="2100" width="10.5703125" customWidth="1"/>
    <col min="2101" max="2101" width="10.42578125" customWidth="1"/>
    <col min="2102" max="2102" width="10.5703125" customWidth="1"/>
    <col min="2103" max="2103" width="10.28515625" customWidth="1"/>
    <col min="2305" max="2305" width="10.140625" customWidth="1"/>
    <col min="2306" max="2306" width="12.7109375" customWidth="1"/>
    <col min="2307" max="2307" width="3.42578125" customWidth="1"/>
    <col min="2308" max="2308" width="3.28515625" customWidth="1"/>
    <col min="2309" max="2309" width="3.42578125" customWidth="1"/>
    <col min="2310" max="2310" width="5" customWidth="1"/>
    <col min="2311" max="2311" width="2.85546875" customWidth="1"/>
    <col min="2312" max="2312" width="3.5703125" customWidth="1"/>
    <col min="2313" max="2313" width="3.7109375" customWidth="1"/>
    <col min="2314" max="2314" width="3.28515625" customWidth="1"/>
    <col min="2315" max="2315" width="6.42578125" customWidth="1"/>
    <col min="2316" max="2316" width="8.28515625" customWidth="1"/>
    <col min="2317" max="2317" width="0.28515625" customWidth="1"/>
    <col min="2318" max="2318" width="19.28515625" customWidth="1"/>
    <col min="2319" max="2319" width="17.140625" customWidth="1"/>
    <col min="2320" max="2320" width="7.42578125" customWidth="1"/>
    <col min="2321" max="2321" width="9.28515625" customWidth="1"/>
    <col min="2322" max="2322" width="49.42578125" customWidth="1"/>
    <col min="2323" max="2326" width="9.42578125" customWidth="1"/>
    <col min="2327" max="2327" width="22.28515625" customWidth="1"/>
    <col min="2328" max="2328" width="18" customWidth="1"/>
    <col min="2329" max="2329" width="12.140625" customWidth="1"/>
    <col min="2330" max="2330" width="5.42578125" customWidth="1"/>
    <col min="2331" max="2331" width="14.5703125" customWidth="1"/>
    <col min="2332" max="2332" width="18.7109375" customWidth="1"/>
    <col min="2333" max="2333" width="8.85546875" customWidth="1"/>
    <col min="2334" max="2334" width="9.28515625" customWidth="1"/>
    <col min="2335" max="2335" width="8.85546875" customWidth="1"/>
    <col min="2336" max="2336" width="13.7109375" customWidth="1"/>
    <col min="2337" max="2337" width="5.5703125" customWidth="1"/>
    <col min="2338" max="2338" width="5.7109375" customWidth="1"/>
    <col min="2339" max="2339" width="4.85546875" customWidth="1"/>
    <col min="2340" max="2341" width="5" customWidth="1"/>
    <col min="2342" max="2342" width="4.85546875" customWidth="1"/>
    <col min="2343" max="2343" width="5" customWidth="1"/>
    <col min="2344" max="2344" width="5.28515625" customWidth="1"/>
    <col min="2345" max="2345" width="9.7109375" customWidth="1"/>
    <col min="2346" max="2346" width="10" customWidth="1"/>
    <col min="2349" max="2349" width="10.28515625" customWidth="1"/>
    <col min="2350" max="2350" width="10.7109375" customWidth="1"/>
    <col min="2351" max="2351" width="10.28515625" customWidth="1"/>
    <col min="2352" max="2352" width="10.5703125" customWidth="1"/>
    <col min="2353" max="2353" width="10.42578125" customWidth="1"/>
    <col min="2354" max="2354" width="10.5703125" customWidth="1"/>
    <col min="2355" max="2355" width="10.42578125" customWidth="1"/>
    <col min="2356" max="2356" width="10.5703125" customWidth="1"/>
    <col min="2357" max="2357" width="10.42578125" customWidth="1"/>
    <col min="2358" max="2358" width="10.5703125" customWidth="1"/>
    <col min="2359" max="2359" width="10.28515625" customWidth="1"/>
    <col min="2561" max="2561" width="10.140625" customWidth="1"/>
    <col min="2562" max="2562" width="12.7109375" customWidth="1"/>
    <col min="2563" max="2563" width="3.42578125" customWidth="1"/>
    <col min="2564" max="2564" width="3.28515625" customWidth="1"/>
    <col min="2565" max="2565" width="3.42578125" customWidth="1"/>
    <col min="2566" max="2566" width="5" customWidth="1"/>
    <col min="2567" max="2567" width="2.85546875" customWidth="1"/>
    <col min="2568" max="2568" width="3.5703125" customWidth="1"/>
    <col min="2569" max="2569" width="3.7109375" customWidth="1"/>
    <col min="2570" max="2570" width="3.28515625" customWidth="1"/>
    <col min="2571" max="2571" width="6.42578125" customWidth="1"/>
    <col min="2572" max="2572" width="8.28515625" customWidth="1"/>
    <col min="2573" max="2573" width="0.28515625" customWidth="1"/>
    <col min="2574" max="2574" width="19.28515625" customWidth="1"/>
    <col min="2575" max="2575" width="17.140625" customWidth="1"/>
    <col min="2576" max="2576" width="7.42578125" customWidth="1"/>
    <col min="2577" max="2577" width="9.28515625" customWidth="1"/>
    <col min="2578" max="2578" width="49.42578125" customWidth="1"/>
    <col min="2579" max="2582" width="9.42578125" customWidth="1"/>
    <col min="2583" max="2583" width="22.28515625" customWidth="1"/>
    <col min="2584" max="2584" width="18" customWidth="1"/>
    <col min="2585" max="2585" width="12.140625" customWidth="1"/>
    <col min="2586" max="2586" width="5.42578125" customWidth="1"/>
    <col min="2587" max="2587" width="14.5703125" customWidth="1"/>
    <col min="2588" max="2588" width="18.7109375" customWidth="1"/>
    <col min="2589" max="2589" width="8.85546875" customWidth="1"/>
    <col min="2590" max="2590" width="9.28515625" customWidth="1"/>
    <col min="2591" max="2591" width="8.85546875" customWidth="1"/>
    <col min="2592" max="2592" width="13.7109375" customWidth="1"/>
    <col min="2593" max="2593" width="5.5703125" customWidth="1"/>
    <col min="2594" max="2594" width="5.7109375" customWidth="1"/>
    <col min="2595" max="2595" width="4.85546875" customWidth="1"/>
    <col min="2596" max="2597" width="5" customWidth="1"/>
    <col min="2598" max="2598" width="4.85546875" customWidth="1"/>
    <col min="2599" max="2599" width="5" customWidth="1"/>
    <col min="2600" max="2600" width="5.28515625" customWidth="1"/>
    <col min="2601" max="2601" width="9.7109375" customWidth="1"/>
    <col min="2602" max="2602" width="10" customWidth="1"/>
    <col min="2605" max="2605" width="10.28515625" customWidth="1"/>
    <col min="2606" max="2606" width="10.7109375" customWidth="1"/>
    <col min="2607" max="2607" width="10.28515625" customWidth="1"/>
    <col min="2608" max="2608" width="10.5703125" customWidth="1"/>
    <col min="2609" max="2609" width="10.42578125" customWidth="1"/>
    <col min="2610" max="2610" width="10.5703125" customWidth="1"/>
    <col min="2611" max="2611" width="10.42578125" customWidth="1"/>
    <col min="2612" max="2612" width="10.5703125" customWidth="1"/>
    <col min="2613" max="2613" width="10.42578125" customWidth="1"/>
    <col min="2614" max="2614" width="10.5703125" customWidth="1"/>
    <col min="2615" max="2615" width="10.28515625" customWidth="1"/>
    <col min="2817" max="2817" width="10.140625" customWidth="1"/>
    <col min="2818" max="2818" width="12.7109375" customWidth="1"/>
    <col min="2819" max="2819" width="3.42578125" customWidth="1"/>
    <col min="2820" max="2820" width="3.28515625" customWidth="1"/>
    <col min="2821" max="2821" width="3.42578125" customWidth="1"/>
    <col min="2822" max="2822" width="5" customWidth="1"/>
    <col min="2823" max="2823" width="2.85546875" customWidth="1"/>
    <col min="2824" max="2824" width="3.5703125" customWidth="1"/>
    <col min="2825" max="2825" width="3.7109375" customWidth="1"/>
    <col min="2826" max="2826" width="3.28515625" customWidth="1"/>
    <col min="2827" max="2827" width="6.42578125" customWidth="1"/>
    <col min="2828" max="2828" width="8.28515625" customWidth="1"/>
    <col min="2829" max="2829" width="0.28515625" customWidth="1"/>
    <col min="2830" max="2830" width="19.28515625" customWidth="1"/>
    <col min="2831" max="2831" width="17.140625" customWidth="1"/>
    <col min="2832" max="2832" width="7.42578125" customWidth="1"/>
    <col min="2833" max="2833" width="9.28515625" customWidth="1"/>
    <col min="2834" max="2834" width="49.42578125" customWidth="1"/>
    <col min="2835" max="2838" width="9.42578125" customWidth="1"/>
    <col min="2839" max="2839" width="22.28515625" customWidth="1"/>
    <col min="2840" max="2840" width="18" customWidth="1"/>
    <col min="2841" max="2841" width="12.140625" customWidth="1"/>
    <col min="2842" max="2842" width="5.42578125" customWidth="1"/>
    <col min="2843" max="2843" width="14.5703125" customWidth="1"/>
    <col min="2844" max="2844" width="18.7109375" customWidth="1"/>
    <col min="2845" max="2845" width="8.85546875" customWidth="1"/>
    <col min="2846" max="2846" width="9.28515625" customWidth="1"/>
    <col min="2847" max="2847" width="8.85546875" customWidth="1"/>
    <col min="2848" max="2848" width="13.7109375" customWidth="1"/>
    <col min="2849" max="2849" width="5.5703125" customWidth="1"/>
    <col min="2850" max="2850" width="5.7109375" customWidth="1"/>
    <col min="2851" max="2851" width="4.85546875" customWidth="1"/>
    <col min="2852" max="2853" width="5" customWidth="1"/>
    <col min="2854" max="2854" width="4.85546875" customWidth="1"/>
    <col min="2855" max="2855" width="5" customWidth="1"/>
    <col min="2856" max="2856" width="5.28515625" customWidth="1"/>
    <col min="2857" max="2857" width="9.7109375" customWidth="1"/>
    <col min="2858" max="2858" width="10" customWidth="1"/>
    <col min="2861" max="2861" width="10.28515625" customWidth="1"/>
    <col min="2862" max="2862" width="10.7109375" customWidth="1"/>
    <col min="2863" max="2863" width="10.28515625" customWidth="1"/>
    <col min="2864" max="2864" width="10.5703125" customWidth="1"/>
    <col min="2865" max="2865" width="10.42578125" customWidth="1"/>
    <col min="2866" max="2866" width="10.5703125" customWidth="1"/>
    <col min="2867" max="2867" width="10.42578125" customWidth="1"/>
    <col min="2868" max="2868" width="10.5703125" customWidth="1"/>
    <col min="2869" max="2869" width="10.42578125" customWidth="1"/>
    <col min="2870" max="2870" width="10.5703125" customWidth="1"/>
    <col min="2871" max="2871" width="10.28515625" customWidth="1"/>
    <col min="3073" max="3073" width="10.140625" customWidth="1"/>
    <col min="3074" max="3074" width="12.7109375" customWidth="1"/>
    <col min="3075" max="3075" width="3.42578125" customWidth="1"/>
    <col min="3076" max="3076" width="3.28515625" customWidth="1"/>
    <col min="3077" max="3077" width="3.42578125" customWidth="1"/>
    <col min="3078" max="3078" width="5" customWidth="1"/>
    <col min="3079" max="3079" width="2.85546875" customWidth="1"/>
    <col min="3080" max="3080" width="3.5703125" customWidth="1"/>
    <col min="3081" max="3081" width="3.7109375" customWidth="1"/>
    <col min="3082" max="3082" width="3.28515625" customWidth="1"/>
    <col min="3083" max="3083" width="6.42578125" customWidth="1"/>
    <col min="3084" max="3084" width="8.28515625" customWidth="1"/>
    <col min="3085" max="3085" width="0.28515625" customWidth="1"/>
    <col min="3086" max="3086" width="19.28515625" customWidth="1"/>
    <col min="3087" max="3087" width="17.140625" customWidth="1"/>
    <col min="3088" max="3088" width="7.42578125" customWidth="1"/>
    <col min="3089" max="3089" width="9.28515625" customWidth="1"/>
    <col min="3090" max="3090" width="49.42578125" customWidth="1"/>
    <col min="3091" max="3094" width="9.42578125" customWidth="1"/>
    <col min="3095" max="3095" width="22.28515625" customWidth="1"/>
    <col min="3096" max="3096" width="18" customWidth="1"/>
    <col min="3097" max="3097" width="12.140625" customWidth="1"/>
    <col min="3098" max="3098" width="5.42578125" customWidth="1"/>
    <col min="3099" max="3099" width="14.5703125" customWidth="1"/>
    <col min="3100" max="3100" width="18.7109375" customWidth="1"/>
    <col min="3101" max="3101" width="8.85546875" customWidth="1"/>
    <col min="3102" max="3102" width="9.28515625" customWidth="1"/>
    <col min="3103" max="3103" width="8.85546875" customWidth="1"/>
    <col min="3104" max="3104" width="13.7109375" customWidth="1"/>
    <col min="3105" max="3105" width="5.5703125" customWidth="1"/>
    <col min="3106" max="3106" width="5.7109375" customWidth="1"/>
    <col min="3107" max="3107" width="4.85546875" customWidth="1"/>
    <col min="3108" max="3109" width="5" customWidth="1"/>
    <col min="3110" max="3110" width="4.85546875" customWidth="1"/>
    <col min="3111" max="3111" width="5" customWidth="1"/>
    <col min="3112" max="3112" width="5.28515625" customWidth="1"/>
    <col min="3113" max="3113" width="9.7109375" customWidth="1"/>
    <col min="3114" max="3114" width="10" customWidth="1"/>
    <col min="3117" max="3117" width="10.28515625" customWidth="1"/>
    <col min="3118" max="3118" width="10.7109375" customWidth="1"/>
    <col min="3119" max="3119" width="10.28515625" customWidth="1"/>
    <col min="3120" max="3120" width="10.5703125" customWidth="1"/>
    <col min="3121" max="3121" width="10.42578125" customWidth="1"/>
    <col min="3122" max="3122" width="10.5703125" customWidth="1"/>
    <col min="3123" max="3123" width="10.42578125" customWidth="1"/>
    <col min="3124" max="3124" width="10.5703125" customWidth="1"/>
    <col min="3125" max="3125" width="10.42578125" customWidth="1"/>
    <col min="3126" max="3126" width="10.5703125" customWidth="1"/>
    <col min="3127" max="3127" width="10.28515625" customWidth="1"/>
    <col min="3329" max="3329" width="10.140625" customWidth="1"/>
    <col min="3330" max="3330" width="12.7109375" customWidth="1"/>
    <col min="3331" max="3331" width="3.42578125" customWidth="1"/>
    <col min="3332" max="3332" width="3.28515625" customWidth="1"/>
    <col min="3333" max="3333" width="3.42578125" customWidth="1"/>
    <col min="3334" max="3334" width="5" customWidth="1"/>
    <col min="3335" max="3335" width="2.85546875" customWidth="1"/>
    <col min="3336" max="3336" width="3.5703125" customWidth="1"/>
    <col min="3337" max="3337" width="3.7109375" customWidth="1"/>
    <col min="3338" max="3338" width="3.28515625" customWidth="1"/>
    <col min="3339" max="3339" width="6.42578125" customWidth="1"/>
    <col min="3340" max="3340" width="8.28515625" customWidth="1"/>
    <col min="3341" max="3341" width="0.28515625" customWidth="1"/>
    <col min="3342" max="3342" width="19.28515625" customWidth="1"/>
    <col min="3343" max="3343" width="17.140625" customWidth="1"/>
    <col min="3344" max="3344" width="7.42578125" customWidth="1"/>
    <col min="3345" max="3345" width="9.28515625" customWidth="1"/>
    <col min="3346" max="3346" width="49.42578125" customWidth="1"/>
    <col min="3347" max="3350" width="9.42578125" customWidth="1"/>
    <col min="3351" max="3351" width="22.28515625" customWidth="1"/>
    <col min="3352" max="3352" width="18" customWidth="1"/>
    <col min="3353" max="3353" width="12.140625" customWidth="1"/>
    <col min="3354" max="3354" width="5.42578125" customWidth="1"/>
    <col min="3355" max="3355" width="14.5703125" customWidth="1"/>
    <col min="3356" max="3356" width="18.7109375" customWidth="1"/>
    <col min="3357" max="3357" width="8.85546875" customWidth="1"/>
    <col min="3358" max="3358" width="9.28515625" customWidth="1"/>
    <col min="3359" max="3359" width="8.85546875" customWidth="1"/>
    <col min="3360" max="3360" width="13.7109375" customWidth="1"/>
    <col min="3361" max="3361" width="5.5703125" customWidth="1"/>
    <col min="3362" max="3362" width="5.7109375" customWidth="1"/>
    <col min="3363" max="3363" width="4.85546875" customWidth="1"/>
    <col min="3364" max="3365" width="5" customWidth="1"/>
    <col min="3366" max="3366" width="4.85546875" customWidth="1"/>
    <col min="3367" max="3367" width="5" customWidth="1"/>
    <col min="3368" max="3368" width="5.28515625" customWidth="1"/>
    <col min="3369" max="3369" width="9.7109375" customWidth="1"/>
    <col min="3370" max="3370" width="10" customWidth="1"/>
    <col min="3373" max="3373" width="10.28515625" customWidth="1"/>
    <col min="3374" max="3374" width="10.7109375" customWidth="1"/>
    <col min="3375" max="3375" width="10.28515625" customWidth="1"/>
    <col min="3376" max="3376" width="10.5703125" customWidth="1"/>
    <col min="3377" max="3377" width="10.42578125" customWidth="1"/>
    <col min="3378" max="3378" width="10.5703125" customWidth="1"/>
    <col min="3379" max="3379" width="10.42578125" customWidth="1"/>
    <col min="3380" max="3380" width="10.5703125" customWidth="1"/>
    <col min="3381" max="3381" width="10.42578125" customWidth="1"/>
    <col min="3382" max="3382" width="10.5703125" customWidth="1"/>
    <col min="3383" max="3383" width="10.28515625" customWidth="1"/>
    <col min="3585" max="3585" width="10.140625" customWidth="1"/>
    <col min="3586" max="3586" width="12.7109375" customWidth="1"/>
    <col min="3587" max="3587" width="3.42578125" customWidth="1"/>
    <col min="3588" max="3588" width="3.28515625" customWidth="1"/>
    <col min="3589" max="3589" width="3.42578125" customWidth="1"/>
    <col min="3590" max="3590" width="5" customWidth="1"/>
    <col min="3591" max="3591" width="2.85546875" customWidth="1"/>
    <col min="3592" max="3592" width="3.5703125" customWidth="1"/>
    <col min="3593" max="3593" width="3.7109375" customWidth="1"/>
    <col min="3594" max="3594" width="3.28515625" customWidth="1"/>
    <col min="3595" max="3595" width="6.42578125" customWidth="1"/>
    <col min="3596" max="3596" width="8.28515625" customWidth="1"/>
    <col min="3597" max="3597" width="0.28515625" customWidth="1"/>
    <col min="3598" max="3598" width="19.28515625" customWidth="1"/>
    <col min="3599" max="3599" width="17.140625" customWidth="1"/>
    <col min="3600" max="3600" width="7.42578125" customWidth="1"/>
    <col min="3601" max="3601" width="9.28515625" customWidth="1"/>
    <col min="3602" max="3602" width="49.42578125" customWidth="1"/>
    <col min="3603" max="3606" width="9.42578125" customWidth="1"/>
    <col min="3607" max="3607" width="22.28515625" customWidth="1"/>
    <col min="3608" max="3608" width="18" customWidth="1"/>
    <col min="3609" max="3609" width="12.140625" customWidth="1"/>
    <col min="3610" max="3610" width="5.42578125" customWidth="1"/>
    <col min="3611" max="3611" width="14.5703125" customWidth="1"/>
    <col min="3612" max="3612" width="18.7109375" customWidth="1"/>
    <col min="3613" max="3613" width="8.85546875" customWidth="1"/>
    <col min="3614" max="3614" width="9.28515625" customWidth="1"/>
    <col min="3615" max="3615" width="8.85546875" customWidth="1"/>
    <col min="3616" max="3616" width="13.7109375" customWidth="1"/>
    <col min="3617" max="3617" width="5.5703125" customWidth="1"/>
    <col min="3618" max="3618" width="5.7109375" customWidth="1"/>
    <col min="3619" max="3619" width="4.85546875" customWidth="1"/>
    <col min="3620" max="3621" width="5" customWidth="1"/>
    <col min="3622" max="3622" width="4.85546875" customWidth="1"/>
    <col min="3623" max="3623" width="5" customWidth="1"/>
    <col min="3624" max="3624" width="5.28515625" customWidth="1"/>
    <col min="3625" max="3625" width="9.7109375" customWidth="1"/>
    <col min="3626" max="3626" width="10" customWidth="1"/>
    <col min="3629" max="3629" width="10.28515625" customWidth="1"/>
    <col min="3630" max="3630" width="10.7109375" customWidth="1"/>
    <col min="3631" max="3631" width="10.28515625" customWidth="1"/>
    <col min="3632" max="3632" width="10.5703125" customWidth="1"/>
    <col min="3633" max="3633" width="10.42578125" customWidth="1"/>
    <col min="3634" max="3634" width="10.5703125" customWidth="1"/>
    <col min="3635" max="3635" width="10.42578125" customWidth="1"/>
    <col min="3636" max="3636" width="10.5703125" customWidth="1"/>
    <col min="3637" max="3637" width="10.42578125" customWidth="1"/>
    <col min="3638" max="3638" width="10.5703125" customWidth="1"/>
    <col min="3639" max="3639" width="10.28515625" customWidth="1"/>
    <col min="3841" max="3841" width="10.140625" customWidth="1"/>
    <col min="3842" max="3842" width="12.7109375" customWidth="1"/>
    <col min="3843" max="3843" width="3.42578125" customWidth="1"/>
    <col min="3844" max="3844" width="3.28515625" customWidth="1"/>
    <col min="3845" max="3845" width="3.42578125" customWidth="1"/>
    <col min="3846" max="3846" width="5" customWidth="1"/>
    <col min="3847" max="3847" width="2.85546875" customWidth="1"/>
    <col min="3848" max="3848" width="3.5703125" customWidth="1"/>
    <col min="3849" max="3849" width="3.7109375" customWidth="1"/>
    <col min="3850" max="3850" width="3.28515625" customWidth="1"/>
    <col min="3851" max="3851" width="6.42578125" customWidth="1"/>
    <col min="3852" max="3852" width="8.28515625" customWidth="1"/>
    <col min="3853" max="3853" width="0.28515625" customWidth="1"/>
    <col min="3854" max="3854" width="19.28515625" customWidth="1"/>
    <col min="3855" max="3855" width="17.140625" customWidth="1"/>
    <col min="3856" max="3856" width="7.42578125" customWidth="1"/>
    <col min="3857" max="3857" width="9.28515625" customWidth="1"/>
    <col min="3858" max="3858" width="49.42578125" customWidth="1"/>
    <col min="3859" max="3862" width="9.42578125" customWidth="1"/>
    <col min="3863" max="3863" width="22.28515625" customWidth="1"/>
    <col min="3864" max="3864" width="18" customWidth="1"/>
    <col min="3865" max="3865" width="12.140625" customWidth="1"/>
    <col min="3866" max="3866" width="5.42578125" customWidth="1"/>
    <col min="3867" max="3867" width="14.5703125" customWidth="1"/>
    <col min="3868" max="3868" width="18.7109375" customWidth="1"/>
    <col min="3869" max="3869" width="8.85546875" customWidth="1"/>
    <col min="3870" max="3870" width="9.28515625" customWidth="1"/>
    <col min="3871" max="3871" width="8.85546875" customWidth="1"/>
    <col min="3872" max="3872" width="13.7109375" customWidth="1"/>
    <col min="3873" max="3873" width="5.5703125" customWidth="1"/>
    <col min="3874" max="3874" width="5.7109375" customWidth="1"/>
    <col min="3875" max="3875" width="4.85546875" customWidth="1"/>
    <col min="3876" max="3877" width="5" customWidth="1"/>
    <col min="3878" max="3878" width="4.85546875" customWidth="1"/>
    <col min="3879" max="3879" width="5" customWidth="1"/>
    <col min="3880" max="3880" width="5.28515625" customWidth="1"/>
    <col min="3881" max="3881" width="9.7109375" customWidth="1"/>
    <col min="3882" max="3882" width="10" customWidth="1"/>
    <col min="3885" max="3885" width="10.28515625" customWidth="1"/>
    <col min="3886" max="3886" width="10.7109375" customWidth="1"/>
    <col min="3887" max="3887" width="10.28515625" customWidth="1"/>
    <col min="3888" max="3888" width="10.5703125" customWidth="1"/>
    <col min="3889" max="3889" width="10.42578125" customWidth="1"/>
    <col min="3890" max="3890" width="10.5703125" customWidth="1"/>
    <col min="3891" max="3891" width="10.42578125" customWidth="1"/>
    <col min="3892" max="3892" width="10.5703125" customWidth="1"/>
    <col min="3893" max="3893" width="10.42578125" customWidth="1"/>
    <col min="3894" max="3894" width="10.5703125" customWidth="1"/>
    <col min="3895" max="3895" width="10.28515625" customWidth="1"/>
    <col min="4097" max="4097" width="10.140625" customWidth="1"/>
    <col min="4098" max="4098" width="12.7109375" customWidth="1"/>
    <col min="4099" max="4099" width="3.42578125" customWidth="1"/>
    <col min="4100" max="4100" width="3.28515625" customWidth="1"/>
    <col min="4101" max="4101" width="3.42578125" customWidth="1"/>
    <col min="4102" max="4102" width="5" customWidth="1"/>
    <col min="4103" max="4103" width="2.85546875" customWidth="1"/>
    <col min="4104" max="4104" width="3.5703125" customWidth="1"/>
    <col min="4105" max="4105" width="3.7109375" customWidth="1"/>
    <col min="4106" max="4106" width="3.28515625" customWidth="1"/>
    <col min="4107" max="4107" width="6.42578125" customWidth="1"/>
    <col min="4108" max="4108" width="8.28515625" customWidth="1"/>
    <col min="4109" max="4109" width="0.28515625" customWidth="1"/>
    <col min="4110" max="4110" width="19.28515625" customWidth="1"/>
    <col min="4111" max="4111" width="17.140625" customWidth="1"/>
    <col min="4112" max="4112" width="7.42578125" customWidth="1"/>
    <col min="4113" max="4113" width="9.28515625" customWidth="1"/>
    <col min="4114" max="4114" width="49.42578125" customWidth="1"/>
    <col min="4115" max="4118" width="9.42578125" customWidth="1"/>
    <col min="4119" max="4119" width="22.28515625" customWidth="1"/>
    <col min="4120" max="4120" width="18" customWidth="1"/>
    <col min="4121" max="4121" width="12.140625" customWidth="1"/>
    <col min="4122" max="4122" width="5.42578125" customWidth="1"/>
    <col min="4123" max="4123" width="14.5703125" customWidth="1"/>
    <col min="4124" max="4124" width="18.7109375" customWidth="1"/>
    <col min="4125" max="4125" width="8.85546875" customWidth="1"/>
    <col min="4126" max="4126" width="9.28515625" customWidth="1"/>
    <col min="4127" max="4127" width="8.85546875" customWidth="1"/>
    <col min="4128" max="4128" width="13.7109375" customWidth="1"/>
    <col min="4129" max="4129" width="5.5703125" customWidth="1"/>
    <col min="4130" max="4130" width="5.7109375" customWidth="1"/>
    <col min="4131" max="4131" width="4.85546875" customWidth="1"/>
    <col min="4132" max="4133" width="5" customWidth="1"/>
    <col min="4134" max="4134" width="4.85546875" customWidth="1"/>
    <col min="4135" max="4135" width="5" customWidth="1"/>
    <col min="4136" max="4136" width="5.28515625" customWidth="1"/>
    <col min="4137" max="4137" width="9.7109375" customWidth="1"/>
    <col min="4138" max="4138" width="10" customWidth="1"/>
    <col min="4141" max="4141" width="10.28515625" customWidth="1"/>
    <col min="4142" max="4142" width="10.7109375" customWidth="1"/>
    <col min="4143" max="4143" width="10.28515625" customWidth="1"/>
    <col min="4144" max="4144" width="10.5703125" customWidth="1"/>
    <col min="4145" max="4145" width="10.42578125" customWidth="1"/>
    <col min="4146" max="4146" width="10.5703125" customWidth="1"/>
    <col min="4147" max="4147" width="10.42578125" customWidth="1"/>
    <col min="4148" max="4148" width="10.5703125" customWidth="1"/>
    <col min="4149" max="4149" width="10.42578125" customWidth="1"/>
    <col min="4150" max="4150" width="10.5703125" customWidth="1"/>
    <col min="4151" max="4151" width="10.28515625" customWidth="1"/>
    <col min="4353" max="4353" width="10.140625" customWidth="1"/>
    <col min="4354" max="4354" width="12.7109375" customWidth="1"/>
    <col min="4355" max="4355" width="3.42578125" customWidth="1"/>
    <col min="4356" max="4356" width="3.28515625" customWidth="1"/>
    <col min="4357" max="4357" width="3.42578125" customWidth="1"/>
    <col min="4358" max="4358" width="5" customWidth="1"/>
    <col min="4359" max="4359" width="2.85546875" customWidth="1"/>
    <col min="4360" max="4360" width="3.5703125" customWidth="1"/>
    <col min="4361" max="4361" width="3.7109375" customWidth="1"/>
    <col min="4362" max="4362" width="3.28515625" customWidth="1"/>
    <col min="4363" max="4363" width="6.42578125" customWidth="1"/>
    <col min="4364" max="4364" width="8.28515625" customWidth="1"/>
    <col min="4365" max="4365" width="0.28515625" customWidth="1"/>
    <col min="4366" max="4366" width="19.28515625" customWidth="1"/>
    <col min="4367" max="4367" width="17.140625" customWidth="1"/>
    <col min="4368" max="4368" width="7.42578125" customWidth="1"/>
    <col min="4369" max="4369" width="9.28515625" customWidth="1"/>
    <col min="4370" max="4370" width="49.42578125" customWidth="1"/>
    <col min="4371" max="4374" width="9.42578125" customWidth="1"/>
    <col min="4375" max="4375" width="22.28515625" customWidth="1"/>
    <col min="4376" max="4376" width="18" customWidth="1"/>
    <col min="4377" max="4377" width="12.140625" customWidth="1"/>
    <col min="4378" max="4378" width="5.42578125" customWidth="1"/>
    <col min="4379" max="4379" width="14.5703125" customWidth="1"/>
    <col min="4380" max="4380" width="18.7109375" customWidth="1"/>
    <col min="4381" max="4381" width="8.85546875" customWidth="1"/>
    <col min="4382" max="4382" width="9.28515625" customWidth="1"/>
    <col min="4383" max="4383" width="8.85546875" customWidth="1"/>
    <col min="4384" max="4384" width="13.7109375" customWidth="1"/>
    <col min="4385" max="4385" width="5.5703125" customWidth="1"/>
    <col min="4386" max="4386" width="5.7109375" customWidth="1"/>
    <col min="4387" max="4387" width="4.85546875" customWidth="1"/>
    <col min="4388" max="4389" width="5" customWidth="1"/>
    <col min="4390" max="4390" width="4.85546875" customWidth="1"/>
    <col min="4391" max="4391" width="5" customWidth="1"/>
    <col min="4392" max="4392" width="5.28515625" customWidth="1"/>
    <col min="4393" max="4393" width="9.7109375" customWidth="1"/>
    <col min="4394" max="4394" width="10" customWidth="1"/>
    <col min="4397" max="4397" width="10.28515625" customWidth="1"/>
    <col min="4398" max="4398" width="10.7109375" customWidth="1"/>
    <col min="4399" max="4399" width="10.28515625" customWidth="1"/>
    <col min="4400" max="4400" width="10.5703125" customWidth="1"/>
    <col min="4401" max="4401" width="10.42578125" customWidth="1"/>
    <col min="4402" max="4402" width="10.5703125" customWidth="1"/>
    <col min="4403" max="4403" width="10.42578125" customWidth="1"/>
    <col min="4404" max="4404" width="10.5703125" customWidth="1"/>
    <col min="4405" max="4405" width="10.42578125" customWidth="1"/>
    <col min="4406" max="4406" width="10.5703125" customWidth="1"/>
    <col min="4407" max="4407" width="10.28515625" customWidth="1"/>
    <col min="4609" max="4609" width="10.140625" customWidth="1"/>
    <col min="4610" max="4610" width="12.7109375" customWidth="1"/>
    <col min="4611" max="4611" width="3.42578125" customWidth="1"/>
    <col min="4612" max="4612" width="3.28515625" customWidth="1"/>
    <col min="4613" max="4613" width="3.42578125" customWidth="1"/>
    <col min="4614" max="4614" width="5" customWidth="1"/>
    <col min="4615" max="4615" width="2.85546875" customWidth="1"/>
    <col min="4616" max="4616" width="3.5703125" customWidth="1"/>
    <col min="4617" max="4617" width="3.7109375" customWidth="1"/>
    <col min="4618" max="4618" width="3.28515625" customWidth="1"/>
    <col min="4619" max="4619" width="6.42578125" customWidth="1"/>
    <col min="4620" max="4620" width="8.28515625" customWidth="1"/>
    <col min="4621" max="4621" width="0.28515625" customWidth="1"/>
    <col min="4622" max="4622" width="19.28515625" customWidth="1"/>
    <col min="4623" max="4623" width="17.140625" customWidth="1"/>
    <col min="4624" max="4624" width="7.42578125" customWidth="1"/>
    <col min="4625" max="4625" width="9.28515625" customWidth="1"/>
    <col min="4626" max="4626" width="49.42578125" customWidth="1"/>
    <col min="4627" max="4630" width="9.42578125" customWidth="1"/>
    <col min="4631" max="4631" width="22.28515625" customWidth="1"/>
    <col min="4632" max="4632" width="18" customWidth="1"/>
    <col min="4633" max="4633" width="12.140625" customWidth="1"/>
    <col min="4634" max="4634" width="5.42578125" customWidth="1"/>
    <col min="4635" max="4635" width="14.5703125" customWidth="1"/>
    <col min="4636" max="4636" width="18.7109375" customWidth="1"/>
    <col min="4637" max="4637" width="8.85546875" customWidth="1"/>
    <col min="4638" max="4638" width="9.28515625" customWidth="1"/>
    <col min="4639" max="4639" width="8.85546875" customWidth="1"/>
    <col min="4640" max="4640" width="13.7109375" customWidth="1"/>
    <col min="4641" max="4641" width="5.5703125" customWidth="1"/>
    <col min="4642" max="4642" width="5.7109375" customWidth="1"/>
    <col min="4643" max="4643" width="4.85546875" customWidth="1"/>
    <col min="4644" max="4645" width="5" customWidth="1"/>
    <col min="4646" max="4646" width="4.85546875" customWidth="1"/>
    <col min="4647" max="4647" width="5" customWidth="1"/>
    <col min="4648" max="4648" width="5.28515625" customWidth="1"/>
    <col min="4649" max="4649" width="9.7109375" customWidth="1"/>
    <col min="4650" max="4650" width="10" customWidth="1"/>
    <col min="4653" max="4653" width="10.28515625" customWidth="1"/>
    <col min="4654" max="4654" width="10.7109375" customWidth="1"/>
    <col min="4655" max="4655" width="10.28515625" customWidth="1"/>
    <col min="4656" max="4656" width="10.5703125" customWidth="1"/>
    <col min="4657" max="4657" width="10.42578125" customWidth="1"/>
    <col min="4658" max="4658" width="10.5703125" customWidth="1"/>
    <col min="4659" max="4659" width="10.42578125" customWidth="1"/>
    <col min="4660" max="4660" width="10.5703125" customWidth="1"/>
    <col min="4661" max="4661" width="10.42578125" customWidth="1"/>
    <col min="4662" max="4662" width="10.5703125" customWidth="1"/>
    <col min="4663" max="4663" width="10.28515625" customWidth="1"/>
    <col min="4865" max="4865" width="10.140625" customWidth="1"/>
    <col min="4866" max="4866" width="12.7109375" customWidth="1"/>
    <col min="4867" max="4867" width="3.42578125" customWidth="1"/>
    <col min="4868" max="4868" width="3.28515625" customWidth="1"/>
    <col min="4869" max="4869" width="3.42578125" customWidth="1"/>
    <col min="4870" max="4870" width="5" customWidth="1"/>
    <col min="4871" max="4871" width="2.85546875" customWidth="1"/>
    <col min="4872" max="4872" width="3.5703125" customWidth="1"/>
    <col min="4873" max="4873" width="3.7109375" customWidth="1"/>
    <col min="4874" max="4874" width="3.28515625" customWidth="1"/>
    <col min="4875" max="4875" width="6.42578125" customWidth="1"/>
    <col min="4876" max="4876" width="8.28515625" customWidth="1"/>
    <col min="4877" max="4877" width="0.28515625" customWidth="1"/>
    <col min="4878" max="4878" width="19.28515625" customWidth="1"/>
    <col min="4879" max="4879" width="17.140625" customWidth="1"/>
    <col min="4880" max="4880" width="7.42578125" customWidth="1"/>
    <col min="4881" max="4881" width="9.28515625" customWidth="1"/>
    <col min="4882" max="4882" width="49.42578125" customWidth="1"/>
    <col min="4883" max="4886" width="9.42578125" customWidth="1"/>
    <col min="4887" max="4887" width="22.28515625" customWidth="1"/>
    <col min="4888" max="4888" width="18" customWidth="1"/>
    <col min="4889" max="4889" width="12.140625" customWidth="1"/>
    <col min="4890" max="4890" width="5.42578125" customWidth="1"/>
    <col min="4891" max="4891" width="14.5703125" customWidth="1"/>
    <col min="4892" max="4892" width="18.7109375" customWidth="1"/>
    <col min="4893" max="4893" width="8.85546875" customWidth="1"/>
    <col min="4894" max="4894" width="9.28515625" customWidth="1"/>
    <col min="4895" max="4895" width="8.85546875" customWidth="1"/>
    <col min="4896" max="4896" width="13.7109375" customWidth="1"/>
    <col min="4897" max="4897" width="5.5703125" customWidth="1"/>
    <col min="4898" max="4898" width="5.7109375" customWidth="1"/>
    <col min="4899" max="4899" width="4.85546875" customWidth="1"/>
    <col min="4900" max="4901" width="5" customWidth="1"/>
    <col min="4902" max="4902" width="4.85546875" customWidth="1"/>
    <col min="4903" max="4903" width="5" customWidth="1"/>
    <col min="4904" max="4904" width="5.28515625" customWidth="1"/>
    <col min="4905" max="4905" width="9.7109375" customWidth="1"/>
    <col min="4906" max="4906" width="10" customWidth="1"/>
    <col min="4909" max="4909" width="10.28515625" customWidth="1"/>
    <col min="4910" max="4910" width="10.7109375" customWidth="1"/>
    <col min="4911" max="4911" width="10.28515625" customWidth="1"/>
    <col min="4912" max="4912" width="10.5703125" customWidth="1"/>
    <col min="4913" max="4913" width="10.42578125" customWidth="1"/>
    <col min="4914" max="4914" width="10.5703125" customWidth="1"/>
    <col min="4915" max="4915" width="10.42578125" customWidth="1"/>
    <col min="4916" max="4916" width="10.5703125" customWidth="1"/>
    <col min="4917" max="4917" width="10.42578125" customWidth="1"/>
    <col min="4918" max="4918" width="10.5703125" customWidth="1"/>
    <col min="4919" max="4919" width="10.28515625" customWidth="1"/>
    <col min="5121" max="5121" width="10.140625" customWidth="1"/>
    <col min="5122" max="5122" width="12.7109375" customWidth="1"/>
    <col min="5123" max="5123" width="3.42578125" customWidth="1"/>
    <col min="5124" max="5124" width="3.28515625" customWidth="1"/>
    <col min="5125" max="5125" width="3.42578125" customWidth="1"/>
    <col min="5126" max="5126" width="5" customWidth="1"/>
    <col min="5127" max="5127" width="2.85546875" customWidth="1"/>
    <col min="5128" max="5128" width="3.5703125" customWidth="1"/>
    <col min="5129" max="5129" width="3.7109375" customWidth="1"/>
    <col min="5130" max="5130" width="3.28515625" customWidth="1"/>
    <col min="5131" max="5131" width="6.42578125" customWidth="1"/>
    <col min="5132" max="5132" width="8.28515625" customWidth="1"/>
    <col min="5133" max="5133" width="0.28515625" customWidth="1"/>
    <col min="5134" max="5134" width="19.28515625" customWidth="1"/>
    <col min="5135" max="5135" width="17.140625" customWidth="1"/>
    <col min="5136" max="5136" width="7.42578125" customWidth="1"/>
    <col min="5137" max="5137" width="9.28515625" customWidth="1"/>
    <col min="5138" max="5138" width="49.42578125" customWidth="1"/>
    <col min="5139" max="5142" width="9.42578125" customWidth="1"/>
    <col min="5143" max="5143" width="22.28515625" customWidth="1"/>
    <col min="5144" max="5144" width="18" customWidth="1"/>
    <col min="5145" max="5145" width="12.140625" customWidth="1"/>
    <col min="5146" max="5146" width="5.42578125" customWidth="1"/>
    <col min="5147" max="5147" width="14.5703125" customWidth="1"/>
    <col min="5148" max="5148" width="18.7109375" customWidth="1"/>
    <col min="5149" max="5149" width="8.85546875" customWidth="1"/>
    <col min="5150" max="5150" width="9.28515625" customWidth="1"/>
    <col min="5151" max="5151" width="8.85546875" customWidth="1"/>
    <col min="5152" max="5152" width="13.7109375" customWidth="1"/>
    <col min="5153" max="5153" width="5.5703125" customWidth="1"/>
    <col min="5154" max="5154" width="5.7109375" customWidth="1"/>
    <col min="5155" max="5155" width="4.85546875" customWidth="1"/>
    <col min="5156" max="5157" width="5" customWidth="1"/>
    <col min="5158" max="5158" width="4.85546875" customWidth="1"/>
    <col min="5159" max="5159" width="5" customWidth="1"/>
    <col min="5160" max="5160" width="5.28515625" customWidth="1"/>
    <col min="5161" max="5161" width="9.7109375" customWidth="1"/>
    <col min="5162" max="5162" width="10" customWidth="1"/>
    <col min="5165" max="5165" width="10.28515625" customWidth="1"/>
    <col min="5166" max="5166" width="10.7109375" customWidth="1"/>
    <col min="5167" max="5167" width="10.28515625" customWidth="1"/>
    <col min="5168" max="5168" width="10.5703125" customWidth="1"/>
    <col min="5169" max="5169" width="10.42578125" customWidth="1"/>
    <col min="5170" max="5170" width="10.5703125" customWidth="1"/>
    <col min="5171" max="5171" width="10.42578125" customWidth="1"/>
    <col min="5172" max="5172" width="10.5703125" customWidth="1"/>
    <col min="5173" max="5173" width="10.42578125" customWidth="1"/>
    <col min="5174" max="5174" width="10.5703125" customWidth="1"/>
    <col min="5175" max="5175" width="10.28515625" customWidth="1"/>
    <col min="5377" max="5377" width="10.140625" customWidth="1"/>
    <col min="5378" max="5378" width="12.7109375" customWidth="1"/>
    <col min="5379" max="5379" width="3.42578125" customWidth="1"/>
    <col min="5380" max="5380" width="3.28515625" customWidth="1"/>
    <col min="5381" max="5381" width="3.42578125" customWidth="1"/>
    <col min="5382" max="5382" width="5" customWidth="1"/>
    <col min="5383" max="5383" width="2.85546875" customWidth="1"/>
    <col min="5384" max="5384" width="3.5703125" customWidth="1"/>
    <col min="5385" max="5385" width="3.7109375" customWidth="1"/>
    <col min="5386" max="5386" width="3.28515625" customWidth="1"/>
    <col min="5387" max="5387" width="6.42578125" customWidth="1"/>
    <col min="5388" max="5388" width="8.28515625" customWidth="1"/>
    <col min="5389" max="5389" width="0.28515625" customWidth="1"/>
    <col min="5390" max="5390" width="19.28515625" customWidth="1"/>
    <col min="5391" max="5391" width="17.140625" customWidth="1"/>
    <col min="5392" max="5392" width="7.42578125" customWidth="1"/>
    <col min="5393" max="5393" width="9.28515625" customWidth="1"/>
    <col min="5394" max="5394" width="49.42578125" customWidth="1"/>
    <col min="5395" max="5398" width="9.42578125" customWidth="1"/>
    <col min="5399" max="5399" width="22.28515625" customWidth="1"/>
    <col min="5400" max="5400" width="18" customWidth="1"/>
    <col min="5401" max="5401" width="12.140625" customWidth="1"/>
    <col min="5402" max="5402" width="5.42578125" customWidth="1"/>
    <col min="5403" max="5403" width="14.5703125" customWidth="1"/>
    <col min="5404" max="5404" width="18.7109375" customWidth="1"/>
    <col min="5405" max="5405" width="8.85546875" customWidth="1"/>
    <col min="5406" max="5406" width="9.28515625" customWidth="1"/>
    <col min="5407" max="5407" width="8.85546875" customWidth="1"/>
    <col min="5408" max="5408" width="13.7109375" customWidth="1"/>
    <col min="5409" max="5409" width="5.5703125" customWidth="1"/>
    <col min="5410" max="5410" width="5.7109375" customWidth="1"/>
    <col min="5411" max="5411" width="4.85546875" customWidth="1"/>
    <col min="5412" max="5413" width="5" customWidth="1"/>
    <col min="5414" max="5414" width="4.85546875" customWidth="1"/>
    <col min="5415" max="5415" width="5" customWidth="1"/>
    <col min="5416" max="5416" width="5.28515625" customWidth="1"/>
    <col min="5417" max="5417" width="9.7109375" customWidth="1"/>
    <col min="5418" max="5418" width="10" customWidth="1"/>
    <col min="5421" max="5421" width="10.28515625" customWidth="1"/>
    <col min="5422" max="5422" width="10.7109375" customWidth="1"/>
    <col min="5423" max="5423" width="10.28515625" customWidth="1"/>
    <col min="5424" max="5424" width="10.5703125" customWidth="1"/>
    <col min="5425" max="5425" width="10.42578125" customWidth="1"/>
    <col min="5426" max="5426" width="10.5703125" customWidth="1"/>
    <col min="5427" max="5427" width="10.42578125" customWidth="1"/>
    <col min="5428" max="5428" width="10.5703125" customWidth="1"/>
    <col min="5429" max="5429" width="10.42578125" customWidth="1"/>
    <col min="5430" max="5430" width="10.5703125" customWidth="1"/>
    <col min="5431" max="5431" width="10.28515625" customWidth="1"/>
    <col min="5633" max="5633" width="10.140625" customWidth="1"/>
    <col min="5634" max="5634" width="12.7109375" customWidth="1"/>
    <col min="5635" max="5635" width="3.42578125" customWidth="1"/>
    <col min="5636" max="5636" width="3.28515625" customWidth="1"/>
    <col min="5637" max="5637" width="3.42578125" customWidth="1"/>
    <col min="5638" max="5638" width="5" customWidth="1"/>
    <col min="5639" max="5639" width="2.85546875" customWidth="1"/>
    <col min="5640" max="5640" width="3.5703125" customWidth="1"/>
    <col min="5641" max="5641" width="3.7109375" customWidth="1"/>
    <col min="5642" max="5642" width="3.28515625" customWidth="1"/>
    <col min="5643" max="5643" width="6.42578125" customWidth="1"/>
    <col min="5644" max="5644" width="8.28515625" customWidth="1"/>
    <col min="5645" max="5645" width="0.28515625" customWidth="1"/>
    <col min="5646" max="5646" width="19.28515625" customWidth="1"/>
    <col min="5647" max="5647" width="17.140625" customWidth="1"/>
    <col min="5648" max="5648" width="7.42578125" customWidth="1"/>
    <col min="5649" max="5649" width="9.28515625" customWidth="1"/>
    <col min="5650" max="5650" width="49.42578125" customWidth="1"/>
    <col min="5651" max="5654" width="9.42578125" customWidth="1"/>
    <col min="5655" max="5655" width="22.28515625" customWidth="1"/>
    <col min="5656" max="5656" width="18" customWidth="1"/>
    <col min="5657" max="5657" width="12.140625" customWidth="1"/>
    <col min="5658" max="5658" width="5.42578125" customWidth="1"/>
    <col min="5659" max="5659" width="14.5703125" customWidth="1"/>
    <col min="5660" max="5660" width="18.7109375" customWidth="1"/>
    <col min="5661" max="5661" width="8.85546875" customWidth="1"/>
    <col min="5662" max="5662" width="9.28515625" customWidth="1"/>
    <col min="5663" max="5663" width="8.85546875" customWidth="1"/>
    <col min="5664" max="5664" width="13.7109375" customWidth="1"/>
    <col min="5665" max="5665" width="5.5703125" customWidth="1"/>
    <col min="5666" max="5666" width="5.7109375" customWidth="1"/>
    <col min="5667" max="5667" width="4.85546875" customWidth="1"/>
    <col min="5668" max="5669" width="5" customWidth="1"/>
    <col min="5670" max="5670" width="4.85546875" customWidth="1"/>
    <col min="5671" max="5671" width="5" customWidth="1"/>
    <col min="5672" max="5672" width="5.28515625" customWidth="1"/>
    <col min="5673" max="5673" width="9.7109375" customWidth="1"/>
    <col min="5674" max="5674" width="10" customWidth="1"/>
    <col min="5677" max="5677" width="10.28515625" customWidth="1"/>
    <col min="5678" max="5678" width="10.7109375" customWidth="1"/>
    <col min="5679" max="5679" width="10.28515625" customWidth="1"/>
    <col min="5680" max="5680" width="10.5703125" customWidth="1"/>
    <col min="5681" max="5681" width="10.42578125" customWidth="1"/>
    <col min="5682" max="5682" width="10.5703125" customWidth="1"/>
    <col min="5683" max="5683" width="10.42578125" customWidth="1"/>
    <col min="5684" max="5684" width="10.5703125" customWidth="1"/>
    <col min="5685" max="5685" width="10.42578125" customWidth="1"/>
    <col min="5686" max="5686" width="10.5703125" customWidth="1"/>
    <col min="5687" max="5687" width="10.28515625" customWidth="1"/>
    <col min="5889" max="5889" width="10.140625" customWidth="1"/>
    <col min="5890" max="5890" width="12.7109375" customWidth="1"/>
    <col min="5891" max="5891" width="3.42578125" customWidth="1"/>
    <col min="5892" max="5892" width="3.28515625" customWidth="1"/>
    <col min="5893" max="5893" width="3.42578125" customWidth="1"/>
    <col min="5894" max="5894" width="5" customWidth="1"/>
    <col min="5895" max="5895" width="2.85546875" customWidth="1"/>
    <col min="5896" max="5896" width="3.5703125" customWidth="1"/>
    <col min="5897" max="5897" width="3.7109375" customWidth="1"/>
    <col min="5898" max="5898" width="3.28515625" customWidth="1"/>
    <col min="5899" max="5899" width="6.42578125" customWidth="1"/>
    <col min="5900" max="5900" width="8.28515625" customWidth="1"/>
    <col min="5901" max="5901" width="0.28515625" customWidth="1"/>
    <col min="5902" max="5902" width="19.28515625" customWidth="1"/>
    <col min="5903" max="5903" width="17.140625" customWidth="1"/>
    <col min="5904" max="5904" width="7.42578125" customWidth="1"/>
    <col min="5905" max="5905" width="9.28515625" customWidth="1"/>
    <col min="5906" max="5906" width="49.42578125" customWidth="1"/>
    <col min="5907" max="5910" width="9.42578125" customWidth="1"/>
    <col min="5911" max="5911" width="22.28515625" customWidth="1"/>
    <col min="5912" max="5912" width="18" customWidth="1"/>
    <col min="5913" max="5913" width="12.140625" customWidth="1"/>
    <col min="5914" max="5914" width="5.42578125" customWidth="1"/>
    <col min="5915" max="5915" width="14.5703125" customWidth="1"/>
    <col min="5916" max="5916" width="18.7109375" customWidth="1"/>
    <col min="5917" max="5917" width="8.85546875" customWidth="1"/>
    <col min="5918" max="5918" width="9.28515625" customWidth="1"/>
    <col min="5919" max="5919" width="8.85546875" customWidth="1"/>
    <col min="5920" max="5920" width="13.7109375" customWidth="1"/>
    <col min="5921" max="5921" width="5.5703125" customWidth="1"/>
    <col min="5922" max="5922" width="5.7109375" customWidth="1"/>
    <col min="5923" max="5923" width="4.85546875" customWidth="1"/>
    <col min="5924" max="5925" width="5" customWidth="1"/>
    <col min="5926" max="5926" width="4.85546875" customWidth="1"/>
    <col min="5927" max="5927" width="5" customWidth="1"/>
    <col min="5928" max="5928" width="5.28515625" customWidth="1"/>
    <col min="5929" max="5929" width="9.7109375" customWidth="1"/>
    <col min="5930" max="5930" width="10" customWidth="1"/>
    <col min="5933" max="5933" width="10.28515625" customWidth="1"/>
    <col min="5934" max="5934" width="10.7109375" customWidth="1"/>
    <col min="5935" max="5935" width="10.28515625" customWidth="1"/>
    <col min="5936" max="5936" width="10.5703125" customWidth="1"/>
    <col min="5937" max="5937" width="10.42578125" customWidth="1"/>
    <col min="5938" max="5938" width="10.5703125" customWidth="1"/>
    <col min="5939" max="5939" width="10.42578125" customWidth="1"/>
    <col min="5940" max="5940" width="10.5703125" customWidth="1"/>
    <col min="5941" max="5941" width="10.42578125" customWidth="1"/>
    <col min="5942" max="5942" width="10.5703125" customWidth="1"/>
    <col min="5943" max="5943" width="10.28515625" customWidth="1"/>
    <col min="6145" max="6145" width="10.140625" customWidth="1"/>
    <col min="6146" max="6146" width="12.7109375" customWidth="1"/>
    <col min="6147" max="6147" width="3.42578125" customWidth="1"/>
    <col min="6148" max="6148" width="3.28515625" customWidth="1"/>
    <col min="6149" max="6149" width="3.42578125" customWidth="1"/>
    <col min="6150" max="6150" width="5" customWidth="1"/>
    <col min="6151" max="6151" width="2.85546875" customWidth="1"/>
    <col min="6152" max="6152" width="3.5703125" customWidth="1"/>
    <col min="6153" max="6153" width="3.7109375" customWidth="1"/>
    <col min="6154" max="6154" width="3.28515625" customWidth="1"/>
    <col min="6155" max="6155" width="6.42578125" customWidth="1"/>
    <col min="6156" max="6156" width="8.28515625" customWidth="1"/>
    <col min="6157" max="6157" width="0.28515625" customWidth="1"/>
    <col min="6158" max="6158" width="19.28515625" customWidth="1"/>
    <col min="6159" max="6159" width="17.140625" customWidth="1"/>
    <col min="6160" max="6160" width="7.42578125" customWidth="1"/>
    <col min="6161" max="6161" width="9.28515625" customWidth="1"/>
    <col min="6162" max="6162" width="49.42578125" customWidth="1"/>
    <col min="6163" max="6166" width="9.42578125" customWidth="1"/>
    <col min="6167" max="6167" width="22.28515625" customWidth="1"/>
    <col min="6168" max="6168" width="18" customWidth="1"/>
    <col min="6169" max="6169" width="12.140625" customWidth="1"/>
    <col min="6170" max="6170" width="5.42578125" customWidth="1"/>
    <col min="6171" max="6171" width="14.5703125" customWidth="1"/>
    <col min="6172" max="6172" width="18.7109375" customWidth="1"/>
    <col min="6173" max="6173" width="8.85546875" customWidth="1"/>
    <col min="6174" max="6174" width="9.28515625" customWidth="1"/>
    <col min="6175" max="6175" width="8.85546875" customWidth="1"/>
    <col min="6176" max="6176" width="13.7109375" customWidth="1"/>
    <col min="6177" max="6177" width="5.5703125" customWidth="1"/>
    <col min="6178" max="6178" width="5.7109375" customWidth="1"/>
    <col min="6179" max="6179" width="4.85546875" customWidth="1"/>
    <col min="6180" max="6181" width="5" customWidth="1"/>
    <col min="6182" max="6182" width="4.85546875" customWidth="1"/>
    <col min="6183" max="6183" width="5" customWidth="1"/>
    <col min="6184" max="6184" width="5.28515625" customWidth="1"/>
    <col min="6185" max="6185" width="9.7109375" customWidth="1"/>
    <col min="6186" max="6186" width="10" customWidth="1"/>
    <col min="6189" max="6189" width="10.28515625" customWidth="1"/>
    <col min="6190" max="6190" width="10.7109375" customWidth="1"/>
    <col min="6191" max="6191" width="10.28515625" customWidth="1"/>
    <col min="6192" max="6192" width="10.5703125" customWidth="1"/>
    <col min="6193" max="6193" width="10.42578125" customWidth="1"/>
    <col min="6194" max="6194" width="10.5703125" customWidth="1"/>
    <col min="6195" max="6195" width="10.42578125" customWidth="1"/>
    <col min="6196" max="6196" width="10.5703125" customWidth="1"/>
    <col min="6197" max="6197" width="10.42578125" customWidth="1"/>
    <col min="6198" max="6198" width="10.5703125" customWidth="1"/>
    <col min="6199" max="6199" width="10.28515625" customWidth="1"/>
    <col min="6401" max="6401" width="10.140625" customWidth="1"/>
    <col min="6402" max="6402" width="12.7109375" customWidth="1"/>
    <col min="6403" max="6403" width="3.42578125" customWidth="1"/>
    <col min="6404" max="6404" width="3.28515625" customWidth="1"/>
    <col min="6405" max="6405" width="3.42578125" customWidth="1"/>
    <col min="6406" max="6406" width="5" customWidth="1"/>
    <col min="6407" max="6407" width="2.85546875" customWidth="1"/>
    <col min="6408" max="6408" width="3.5703125" customWidth="1"/>
    <col min="6409" max="6409" width="3.7109375" customWidth="1"/>
    <col min="6410" max="6410" width="3.28515625" customWidth="1"/>
    <col min="6411" max="6411" width="6.42578125" customWidth="1"/>
    <col min="6412" max="6412" width="8.28515625" customWidth="1"/>
    <col min="6413" max="6413" width="0.28515625" customWidth="1"/>
    <col min="6414" max="6414" width="19.28515625" customWidth="1"/>
    <col min="6415" max="6415" width="17.140625" customWidth="1"/>
    <col min="6416" max="6416" width="7.42578125" customWidth="1"/>
    <col min="6417" max="6417" width="9.28515625" customWidth="1"/>
    <col min="6418" max="6418" width="49.42578125" customWidth="1"/>
    <col min="6419" max="6422" width="9.42578125" customWidth="1"/>
    <col min="6423" max="6423" width="22.28515625" customWidth="1"/>
    <col min="6424" max="6424" width="18" customWidth="1"/>
    <col min="6425" max="6425" width="12.140625" customWidth="1"/>
    <col min="6426" max="6426" width="5.42578125" customWidth="1"/>
    <col min="6427" max="6427" width="14.5703125" customWidth="1"/>
    <col min="6428" max="6428" width="18.7109375" customWidth="1"/>
    <col min="6429" max="6429" width="8.85546875" customWidth="1"/>
    <col min="6430" max="6430" width="9.28515625" customWidth="1"/>
    <col min="6431" max="6431" width="8.85546875" customWidth="1"/>
    <col min="6432" max="6432" width="13.7109375" customWidth="1"/>
    <col min="6433" max="6433" width="5.5703125" customWidth="1"/>
    <col min="6434" max="6434" width="5.7109375" customWidth="1"/>
    <col min="6435" max="6435" width="4.85546875" customWidth="1"/>
    <col min="6436" max="6437" width="5" customWidth="1"/>
    <col min="6438" max="6438" width="4.85546875" customWidth="1"/>
    <col min="6439" max="6439" width="5" customWidth="1"/>
    <col min="6440" max="6440" width="5.28515625" customWidth="1"/>
    <col min="6441" max="6441" width="9.7109375" customWidth="1"/>
    <col min="6442" max="6442" width="10" customWidth="1"/>
    <col min="6445" max="6445" width="10.28515625" customWidth="1"/>
    <col min="6446" max="6446" width="10.7109375" customWidth="1"/>
    <col min="6447" max="6447" width="10.28515625" customWidth="1"/>
    <col min="6448" max="6448" width="10.5703125" customWidth="1"/>
    <col min="6449" max="6449" width="10.42578125" customWidth="1"/>
    <col min="6450" max="6450" width="10.5703125" customWidth="1"/>
    <col min="6451" max="6451" width="10.42578125" customWidth="1"/>
    <col min="6452" max="6452" width="10.5703125" customWidth="1"/>
    <col min="6453" max="6453" width="10.42578125" customWidth="1"/>
    <col min="6454" max="6454" width="10.5703125" customWidth="1"/>
    <col min="6455" max="6455" width="10.28515625" customWidth="1"/>
    <col min="6657" max="6657" width="10.140625" customWidth="1"/>
    <col min="6658" max="6658" width="12.7109375" customWidth="1"/>
    <col min="6659" max="6659" width="3.42578125" customWidth="1"/>
    <col min="6660" max="6660" width="3.28515625" customWidth="1"/>
    <col min="6661" max="6661" width="3.42578125" customWidth="1"/>
    <col min="6662" max="6662" width="5" customWidth="1"/>
    <col min="6663" max="6663" width="2.85546875" customWidth="1"/>
    <col min="6664" max="6664" width="3.5703125" customWidth="1"/>
    <col min="6665" max="6665" width="3.7109375" customWidth="1"/>
    <col min="6666" max="6666" width="3.28515625" customWidth="1"/>
    <col min="6667" max="6667" width="6.42578125" customWidth="1"/>
    <col min="6668" max="6668" width="8.28515625" customWidth="1"/>
    <col min="6669" max="6669" width="0.28515625" customWidth="1"/>
    <col min="6670" max="6670" width="19.28515625" customWidth="1"/>
    <col min="6671" max="6671" width="17.140625" customWidth="1"/>
    <col min="6672" max="6672" width="7.42578125" customWidth="1"/>
    <col min="6673" max="6673" width="9.28515625" customWidth="1"/>
    <col min="6674" max="6674" width="49.42578125" customWidth="1"/>
    <col min="6675" max="6678" width="9.42578125" customWidth="1"/>
    <col min="6679" max="6679" width="22.28515625" customWidth="1"/>
    <col min="6680" max="6680" width="18" customWidth="1"/>
    <col min="6681" max="6681" width="12.140625" customWidth="1"/>
    <col min="6682" max="6682" width="5.42578125" customWidth="1"/>
    <col min="6683" max="6683" width="14.5703125" customWidth="1"/>
    <col min="6684" max="6684" width="18.7109375" customWidth="1"/>
    <col min="6685" max="6685" width="8.85546875" customWidth="1"/>
    <col min="6686" max="6686" width="9.28515625" customWidth="1"/>
    <col min="6687" max="6687" width="8.85546875" customWidth="1"/>
    <col min="6688" max="6688" width="13.7109375" customWidth="1"/>
    <col min="6689" max="6689" width="5.5703125" customWidth="1"/>
    <col min="6690" max="6690" width="5.7109375" customWidth="1"/>
    <col min="6691" max="6691" width="4.85546875" customWidth="1"/>
    <col min="6692" max="6693" width="5" customWidth="1"/>
    <col min="6694" max="6694" width="4.85546875" customWidth="1"/>
    <col min="6695" max="6695" width="5" customWidth="1"/>
    <col min="6696" max="6696" width="5.28515625" customWidth="1"/>
    <col min="6697" max="6697" width="9.7109375" customWidth="1"/>
    <col min="6698" max="6698" width="10" customWidth="1"/>
    <col min="6701" max="6701" width="10.28515625" customWidth="1"/>
    <col min="6702" max="6702" width="10.7109375" customWidth="1"/>
    <col min="6703" max="6703" width="10.28515625" customWidth="1"/>
    <col min="6704" max="6704" width="10.5703125" customWidth="1"/>
    <col min="6705" max="6705" width="10.42578125" customWidth="1"/>
    <col min="6706" max="6706" width="10.5703125" customWidth="1"/>
    <col min="6707" max="6707" width="10.42578125" customWidth="1"/>
    <col min="6708" max="6708" width="10.5703125" customWidth="1"/>
    <col min="6709" max="6709" width="10.42578125" customWidth="1"/>
    <col min="6710" max="6710" width="10.5703125" customWidth="1"/>
    <col min="6711" max="6711" width="10.28515625" customWidth="1"/>
    <col min="6913" max="6913" width="10.140625" customWidth="1"/>
    <col min="6914" max="6914" width="12.7109375" customWidth="1"/>
    <col min="6915" max="6915" width="3.42578125" customWidth="1"/>
    <col min="6916" max="6916" width="3.28515625" customWidth="1"/>
    <col min="6917" max="6917" width="3.42578125" customWidth="1"/>
    <col min="6918" max="6918" width="5" customWidth="1"/>
    <col min="6919" max="6919" width="2.85546875" customWidth="1"/>
    <col min="6920" max="6920" width="3.5703125" customWidth="1"/>
    <col min="6921" max="6921" width="3.7109375" customWidth="1"/>
    <col min="6922" max="6922" width="3.28515625" customWidth="1"/>
    <col min="6923" max="6923" width="6.42578125" customWidth="1"/>
    <col min="6924" max="6924" width="8.28515625" customWidth="1"/>
    <col min="6925" max="6925" width="0.28515625" customWidth="1"/>
    <col min="6926" max="6926" width="19.28515625" customWidth="1"/>
    <col min="6927" max="6927" width="17.140625" customWidth="1"/>
    <col min="6928" max="6928" width="7.42578125" customWidth="1"/>
    <col min="6929" max="6929" width="9.28515625" customWidth="1"/>
    <col min="6930" max="6930" width="49.42578125" customWidth="1"/>
    <col min="6931" max="6934" width="9.42578125" customWidth="1"/>
    <col min="6935" max="6935" width="22.28515625" customWidth="1"/>
    <col min="6936" max="6936" width="18" customWidth="1"/>
    <col min="6937" max="6937" width="12.140625" customWidth="1"/>
    <col min="6938" max="6938" width="5.42578125" customWidth="1"/>
    <col min="6939" max="6939" width="14.5703125" customWidth="1"/>
    <col min="6940" max="6940" width="18.7109375" customWidth="1"/>
    <col min="6941" max="6941" width="8.85546875" customWidth="1"/>
    <col min="6942" max="6942" width="9.28515625" customWidth="1"/>
    <col min="6943" max="6943" width="8.85546875" customWidth="1"/>
    <col min="6944" max="6944" width="13.7109375" customWidth="1"/>
    <col min="6945" max="6945" width="5.5703125" customWidth="1"/>
    <col min="6946" max="6946" width="5.7109375" customWidth="1"/>
    <col min="6947" max="6947" width="4.85546875" customWidth="1"/>
    <col min="6948" max="6949" width="5" customWidth="1"/>
    <col min="6950" max="6950" width="4.85546875" customWidth="1"/>
    <col min="6951" max="6951" width="5" customWidth="1"/>
    <col min="6952" max="6952" width="5.28515625" customWidth="1"/>
    <col min="6953" max="6953" width="9.7109375" customWidth="1"/>
    <col min="6954" max="6954" width="10" customWidth="1"/>
    <col min="6957" max="6957" width="10.28515625" customWidth="1"/>
    <col min="6958" max="6958" width="10.7109375" customWidth="1"/>
    <col min="6959" max="6959" width="10.28515625" customWidth="1"/>
    <col min="6960" max="6960" width="10.5703125" customWidth="1"/>
    <col min="6961" max="6961" width="10.42578125" customWidth="1"/>
    <col min="6962" max="6962" width="10.5703125" customWidth="1"/>
    <col min="6963" max="6963" width="10.42578125" customWidth="1"/>
    <col min="6964" max="6964" width="10.5703125" customWidth="1"/>
    <col min="6965" max="6965" width="10.42578125" customWidth="1"/>
    <col min="6966" max="6966" width="10.5703125" customWidth="1"/>
    <col min="6967" max="6967" width="10.28515625" customWidth="1"/>
    <col min="7169" max="7169" width="10.140625" customWidth="1"/>
    <col min="7170" max="7170" width="12.7109375" customWidth="1"/>
    <col min="7171" max="7171" width="3.42578125" customWidth="1"/>
    <col min="7172" max="7172" width="3.28515625" customWidth="1"/>
    <col min="7173" max="7173" width="3.42578125" customWidth="1"/>
    <col min="7174" max="7174" width="5" customWidth="1"/>
    <col min="7175" max="7175" width="2.85546875" customWidth="1"/>
    <col min="7176" max="7176" width="3.5703125" customWidth="1"/>
    <col min="7177" max="7177" width="3.7109375" customWidth="1"/>
    <col min="7178" max="7178" width="3.28515625" customWidth="1"/>
    <col min="7179" max="7179" width="6.42578125" customWidth="1"/>
    <col min="7180" max="7180" width="8.28515625" customWidth="1"/>
    <col min="7181" max="7181" width="0.28515625" customWidth="1"/>
    <col min="7182" max="7182" width="19.28515625" customWidth="1"/>
    <col min="7183" max="7183" width="17.140625" customWidth="1"/>
    <col min="7184" max="7184" width="7.42578125" customWidth="1"/>
    <col min="7185" max="7185" width="9.28515625" customWidth="1"/>
    <col min="7186" max="7186" width="49.42578125" customWidth="1"/>
    <col min="7187" max="7190" width="9.42578125" customWidth="1"/>
    <col min="7191" max="7191" width="22.28515625" customWidth="1"/>
    <col min="7192" max="7192" width="18" customWidth="1"/>
    <col min="7193" max="7193" width="12.140625" customWidth="1"/>
    <col min="7194" max="7194" width="5.42578125" customWidth="1"/>
    <col min="7195" max="7195" width="14.5703125" customWidth="1"/>
    <col min="7196" max="7196" width="18.7109375" customWidth="1"/>
    <col min="7197" max="7197" width="8.85546875" customWidth="1"/>
    <col min="7198" max="7198" width="9.28515625" customWidth="1"/>
    <col min="7199" max="7199" width="8.85546875" customWidth="1"/>
    <col min="7200" max="7200" width="13.7109375" customWidth="1"/>
    <col min="7201" max="7201" width="5.5703125" customWidth="1"/>
    <col min="7202" max="7202" width="5.7109375" customWidth="1"/>
    <col min="7203" max="7203" width="4.85546875" customWidth="1"/>
    <col min="7204" max="7205" width="5" customWidth="1"/>
    <col min="7206" max="7206" width="4.85546875" customWidth="1"/>
    <col min="7207" max="7207" width="5" customWidth="1"/>
    <col min="7208" max="7208" width="5.28515625" customWidth="1"/>
    <col min="7209" max="7209" width="9.7109375" customWidth="1"/>
    <col min="7210" max="7210" width="10" customWidth="1"/>
    <col min="7213" max="7213" width="10.28515625" customWidth="1"/>
    <col min="7214" max="7214" width="10.7109375" customWidth="1"/>
    <col min="7215" max="7215" width="10.28515625" customWidth="1"/>
    <col min="7216" max="7216" width="10.5703125" customWidth="1"/>
    <col min="7217" max="7217" width="10.42578125" customWidth="1"/>
    <col min="7218" max="7218" width="10.5703125" customWidth="1"/>
    <col min="7219" max="7219" width="10.42578125" customWidth="1"/>
    <col min="7220" max="7220" width="10.5703125" customWidth="1"/>
    <col min="7221" max="7221" width="10.42578125" customWidth="1"/>
    <col min="7222" max="7222" width="10.5703125" customWidth="1"/>
    <col min="7223" max="7223" width="10.28515625" customWidth="1"/>
    <col min="7425" max="7425" width="10.140625" customWidth="1"/>
    <col min="7426" max="7426" width="12.7109375" customWidth="1"/>
    <col min="7427" max="7427" width="3.42578125" customWidth="1"/>
    <col min="7428" max="7428" width="3.28515625" customWidth="1"/>
    <col min="7429" max="7429" width="3.42578125" customWidth="1"/>
    <col min="7430" max="7430" width="5" customWidth="1"/>
    <col min="7431" max="7431" width="2.85546875" customWidth="1"/>
    <col min="7432" max="7432" width="3.5703125" customWidth="1"/>
    <col min="7433" max="7433" width="3.7109375" customWidth="1"/>
    <col min="7434" max="7434" width="3.28515625" customWidth="1"/>
    <col min="7435" max="7435" width="6.42578125" customWidth="1"/>
    <col min="7436" max="7436" width="8.28515625" customWidth="1"/>
    <col min="7437" max="7437" width="0.28515625" customWidth="1"/>
    <col min="7438" max="7438" width="19.28515625" customWidth="1"/>
    <col min="7439" max="7439" width="17.140625" customWidth="1"/>
    <col min="7440" max="7440" width="7.42578125" customWidth="1"/>
    <col min="7441" max="7441" width="9.28515625" customWidth="1"/>
    <col min="7442" max="7442" width="49.42578125" customWidth="1"/>
    <col min="7443" max="7446" width="9.42578125" customWidth="1"/>
    <col min="7447" max="7447" width="22.28515625" customWidth="1"/>
    <col min="7448" max="7448" width="18" customWidth="1"/>
    <col min="7449" max="7449" width="12.140625" customWidth="1"/>
    <col min="7450" max="7450" width="5.42578125" customWidth="1"/>
    <col min="7451" max="7451" width="14.5703125" customWidth="1"/>
    <col min="7452" max="7452" width="18.7109375" customWidth="1"/>
    <col min="7453" max="7453" width="8.85546875" customWidth="1"/>
    <col min="7454" max="7454" width="9.28515625" customWidth="1"/>
    <col min="7455" max="7455" width="8.85546875" customWidth="1"/>
    <col min="7456" max="7456" width="13.7109375" customWidth="1"/>
    <col min="7457" max="7457" width="5.5703125" customWidth="1"/>
    <col min="7458" max="7458" width="5.7109375" customWidth="1"/>
    <col min="7459" max="7459" width="4.85546875" customWidth="1"/>
    <col min="7460" max="7461" width="5" customWidth="1"/>
    <col min="7462" max="7462" width="4.85546875" customWidth="1"/>
    <col min="7463" max="7463" width="5" customWidth="1"/>
    <col min="7464" max="7464" width="5.28515625" customWidth="1"/>
    <col min="7465" max="7465" width="9.7109375" customWidth="1"/>
    <col min="7466" max="7466" width="10" customWidth="1"/>
    <col min="7469" max="7469" width="10.28515625" customWidth="1"/>
    <col min="7470" max="7470" width="10.7109375" customWidth="1"/>
    <col min="7471" max="7471" width="10.28515625" customWidth="1"/>
    <col min="7472" max="7472" width="10.5703125" customWidth="1"/>
    <col min="7473" max="7473" width="10.42578125" customWidth="1"/>
    <col min="7474" max="7474" width="10.5703125" customWidth="1"/>
    <col min="7475" max="7475" width="10.42578125" customWidth="1"/>
    <col min="7476" max="7476" width="10.5703125" customWidth="1"/>
    <col min="7477" max="7477" width="10.42578125" customWidth="1"/>
    <col min="7478" max="7478" width="10.5703125" customWidth="1"/>
    <col min="7479" max="7479" width="10.28515625" customWidth="1"/>
    <col min="7681" max="7681" width="10.140625" customWidth="1"/>
    <col min="7682" max="7682" width="12.7109375" customWidth="1"/>
    <col min="7683" max="7683" width="3.42578125" customWidth="1"/>
    <col min="7684" max="7684" width="3.28515625" customWidth="1"/>
    <col min="7685" max="7685" width="3.42578125" customWidth="1"/>
    <col min="7686" max="7686" width="5" customWidth="1"/>
    <col min="7687" max="7687" width="2.85546875" customWidth="1"/>
    <col min="7688" max="7688" width="3.5703125" customWidth="1"/>
    <col min="7689" max="7689" width="3.7109375" customWidth="1"/>
    <col min="7690" max="7690" width="3.28515625" customWidth="1"/>
    <col min="7691" max="7691" width="6.42578125" customWidth="1"/>
    <col min="7692" max="7692" width="8.28515625" customWidth="1"/>
    <col min="7693" max="7693" width="0.28515625" customWidth="1"/>
    <col min="7694" max="7694" width="19.28515625" customWidth="1"/>
    <col min="7695" max="7695" width="17.140625" customWidth="1"/>
    <col min="7696" max="7696" width="7.42578125" customWidth="1"/>
    <col min="7697" max="7697" width="9.28515625" customWidth="1"/>
    <col min="7698" max="7698" width="49.42578125" customWidth="1"/>
    <col min="7699" max="7702" width="9.42578125" customWidth="1"/>
    <col min="7703" max="7703" width="22.28515625" customWidth="1"/>
    <col min="7704" max="7704" width="18" customWidth="1"/>
    <col min="7705" max="7705" width="12.140625" customWidth="1"/>
    <col min="7706" max="7706" width="5.42578125" customWidth="1"/>
    <col min="7707" max="7707" width="14.5703125" customWidth="1"/>
    <col min="7708" max="7708" width="18.7109375" customWidth="1"/>
    <col min="7709" max="7709" width="8.85546875" customWidth="1"/>
    <col min="7710" max="7710" width="9.28515625" customWidth="1"/>
    <col min="7711" max="7711" width="8.85546875" customWidth="1"/>
    <col min="7712" max="7712" width="13.7109375" customWidth="1"/>
    <col min="7713" max="7713" width="5.5703125" customWidth="1"/>
    <col min="7714" max="7714" width="5.7109375" customWidth="1"/>
    <col min="7715" max="7715" width="4.85546875" customWidth="1"/>
    <col min="7716" max="7717" width="5" customWidth="1"/>
    <col min="7718" max="7718" width="4.85546875" customWidth="1"/>
    <col min="7719" max="7719" width="5" customWidth="1"/>
    <col min="7720" max="7720" width="5.28515625" customWidth="1"/>
    <col min="7721" max="7721" width="9.7109375" customWidth="1"/>
    <col min="7722" max="7722" width="10" customWidth="1"/>
    <col min="7725" max="7725" width="10.28515625" customWidth="1"/>
    <col min="7726" max="7726" width="10.7109375" customWidth="1"/>
    <col min="7727" max="7727" width="10.28515625" customWidth="1"/>
    <col min="7728" max="7728" width="10.5703125" customWidth="1"/>
    <col min="7729" max="7729" width="10.42578125" customWidth="1"/>
    <col min="7730" max="7730" width="10.5703125" customWidth="1"/>
    <col min="7731" max="7731" width="10.42578125" customWidth="1"/>
    <col min="7732" max="7732" width="10.5703125" customWidth="1"/>
    <col min="7733" max="7733" width="10.42578125" customWidth="1"/>
    <col min="7734" max="7734" width="10.5703125" customWidth="1"/>
    <col min="7735" max="7735" width="10.28515625" customWidth="1"/>
    <col min="7937" max="7937" width="10.140625" customWidth="1"/>
    <col min="7938" max="7938" width="12.7109375" customWidth="1"/>
    <col min="7939" max="7939" width="3.42578125" customWidth="1"/>
    <col min="7940" max="7940" width="3.28515625" customWidth="1"/>
    <col min="7941" max="7941" width="3.42578125" customWidth="1"/>
    <col min="7942" max="7942" width="5" customWidth="1"/>
    <col min="7943" max="7943" width="2.85546875" customWidth="1"/>
    <col min="7944" max="7944" width="3.5703125" customWidth="1"/>
    <col min="7945" max="7945" width="3.7109375" customWidth="1"/>
    <col min="7946" max="7946" width="3.28515625" customWidth="1"/>
    <col min="7947" max="7947" width="6.42578125" customWidth="1"/>
    <col min="7948" max="7948" width="8.28515625" customWidth="1"/>
    <col min="7949" max="7949" width="0.28515625" customWidth="1"/>
    <col min="7950" max="7950" width="19.28515625" customWidth="1"/>
    <col min="7951" max="7951" width="17.140625" customWidth="1"/>
    <col min="7952" max="7952" width="7.42578125" customWidth="1"/>
    <col min="7953" max="7953" width="9.28515625" customWidth="1"/>
    <col min="7954" max="7954" width="49.42578125" customWidth="1"/>
    <col min="7955" max="7958" width="9.42578125" customWidth="1"/>
    <col min="7959" max="7959" width="22.28515625" customWidth="1"/>
    <col min="7960" max="7960" width="18" customWidth="1"/>
    <col min="7961" max="7961" width="12.140625" customWidth="1"/>
    <col min="7962" max="7962" width="5.42578125" customWidth="1"/>
    <col min="7963" max="7963" width="14.5703125" customWidth="1"/>
    <col min="7964" max="7964" width="18.7109375" customWidth="1"/>
    <col min="7965" max="7965" width="8.85546875" customWidth="1"/>
    <col min="7966" max="7966" width="9.28515625" customWidth="1"/>
    <col min="7967" max="7967" width="8.85546875" customWidth="1"/>
    <col min="7968" max="7968" width="13.7109375" customWidth="1"/>
    <col min="7969" max="7969" width="5.5703125" customWidth="1"/>
    <col min="7970" max="7970" width="5.7109375" customWidth="1"/>
    <col min="7971" max="7971" width="4.85546875" customWidth="1"/>
    <col min="7972" max="7973" width="5" customWidth="1"/>
    <col min="7974" max="7974" width="4.85546875" customWidth="1"/>
    <col min="7975" max="7975" width="5" customWidth="1"/>
    <col min="7976" max="7976" width="5.28515625" customWidth="1"/>
    <col min="7977" max="7977" width="9.7109375" customWidth="1"/>
    <col min="7978" max="7978" width="10" customWidth="1"/>
    <col min="7981" max="7981" width="10.28515625" customWidth="1"/>
    <col min="7982" max="7982" width="10.7109375" customWidth="1"/>
    <col min="7983" max="7983" width="10.28515625" customWidth="1"/>
    <col min="7984" max="7984" width="10.5703125" customWidth="1"/>
    <col min="7985" max="7985" width="10.42578125" customWidth="1"/>
    <col min="7986" max="7986" width="10.5703125" customWidth="1"/>
    <col min="7987" max="7987" width="10.42578125" customWidth="1"/>
    <col min="7988" max="7988" width="10.5703125" customWidth="1"/>
    <col min="7989" max="7989" width="10.42578125" customWidth="1"/>
    <col min="7990" max="7990" width="10.5703125" customWidth="1"/>
    <col min="7991" max="7991" width="10.28515625" customWidth="1"/>
    <col min="8193" max="8193" width="10.140625" customWidth="1"/>
    <col min="8194" max="8194" width="12.7109375" customWidth="1"/>
    <col min="8195" max="8195" width="3.42578125" customWidth="1"/>
    <col min="8196" max="8196" width="3.28515625" customWidth="1"/>
    <col min="8197" max="8197" width="3.42578125" customWidth="1"/>
    <col min="8198" max="8198" width="5" customWidth="1"/>
    <col min="8199" max="8199" width="2.85546875" customWidth="1"/>
    <col min="8200" max="8200" width="3.5703125" customWidth="1"/>
    <col min="8201" max="8201" width="3.7109375" customWidth="1"/>
    <col min="8202" max="8202" width="3.28515625" customWidth="1"/>
    <col min="8203" max="8203" width="6.42578125" customWidth="1"/>
    <col min="8204" max="8204" width="8.28515625" customWidth="1"/>
    <col min="8205" max="8205" width="0.28515625" customWidth="1"/>
    <col min="8206" max="8206" width="19.28515625" customWidth="1"/>
    <col min="8207" max="8207" width="17.140625" customWidth="1"/>
    <col min="8208" max="8208" width="7.42578125" customWidth="1"/>
    <col min="8209" max="8209" width="9.28515625" customWidth="1"/>
    <col min="8210" max="8210" width="49.42578125" customWidth="1"/>
    <col min="8211" max="8214" width="9.42578125" customWidth="1"/>
    <col min="8215" max="8215" width="22.28515625" customWidth="1"/>
    <col min="8216" max="8216" width="18" customWidth="1"/>
    <col min="8217" max="8217" width="12.140625" customWidth="1"/>
    <col min="8218" max="8218" width="5.42578125" customWidth="1"/>
    <col min="8219" max="8219" width="14.5703125" customWidth="1"/>
    <col min="8220" max="8220" width="18.7109375" customWidth="1"/>
    <col min="8221" max="8221" width="8.85546875" customWidth="1"/>
    <col min="8222" max="8222" width="9.28515625" customWidth="1"/>
    <col min="8223" max="8223" width="8.85546875" customWidth="1"/>
    <col min="8224" max="8224" width="13.7109375" customWidth="1"/>
    <col min="8225" max="8225" width="5.5703125" customWidth="1"/>
    <col min="8226" max="8226" width="5.7109375" customWidth="1"/>
    <col min="8227" max="8227" width="4.85546875" customWidth="1"/>
    <col min="8228" max="8229" width="5" customWidth="1"/>
    <col min="8230" max="8230" width="4.85546875" customWidth="1"/>
    <col min="8231" max="8231" width="5" customWidth="1"/>
    <col min="8232" max="8232" width="5.28515625" customWidth="1"/>
    <col min="8233" max="8233" width="9.7109375" customWidth="1"/>
    <col min="8234" max="8234" width="10" customWidth="1"/>
    <col min="8237" max="8237" width="10.28515625" customWidth="1"/>
    <col min="8238" max="8238" width="10.7109375" customWidth="1"/>
    <col min="8239" max="8239" width="10.28515625" customWidth="1"/>
    <col min="8240" max="8240" width="10.5703125" customWidth="1"/>
    <col min="8241" max="8241" width="10.42578125" customWidth="1"/>
    <col min="8242" max="8242" width="10.5703125" customWidth="1"/>
    <col min="8243" max="8243" width="10.42578125" customWidth="1"/>
    <col min="8244" max="8244" width="10.5703125" customWidth="1"/>
    <col min="8245" max="8245" width="10.42578125" customWidth="1"/>
    <col min="8246" max="8246" width="10.5703125" customWidth="1"/>
    <col min="8247" max="8247" width="10.28515625" customWidth="1"/>
    <col min="8449" max="8449" width="10.140625" customWidth="1"/>
    <col min="8450" max="8450" width="12.7109375" customWidth="1"/>
    <col min="8451" max="8451" width="3.42578125" customWidth="1"/>
    <col min="8452" max="8452" width="3.28515625" customWidth="1"/>
    <col min="8453" max="8453" width="3.42578125" customWidth="1"/>
    <col min="8454" max="8454" width="5" customWidth="1"/>
    <col min="8455" max="8455" width="2.85546875" customWidth="1"/>
    <col min="8456" max="8456" width="3.5703125" customWidth="1"/>
    <col min="8457" max="8457" width="3.7109375" customWidth="1"/>
    <col min="8458" max="8458" width="3.28515625" customWidth="1"/>
    <col min="8459" max="8459" width="6.42578125" customWidth="1"/>
    <col min="8460" max="8460" width="8.28515625" customWidth="1"/>
    <col min="8461" max="8461" width="0.28515625" customWidth="1"/>
    <col min="8462" max="8462" width="19.28515625" customWidth="1"/>
    <col min="8463" max="8463" width="17.140625" customWidth="1"/>
    <col min="8464" max="8464" width="7.42578125" customWidth="1"/>
    <col min="8465" max="8465" width="9.28515625" customWidth="1"/>
    <col min="8466" max="8466" width="49.42578125" customWidth="1"/>
    <col min="8467" max="8470" width="9.42578125" customWidth="1"/>
    <col min="8471" max="8471" width="22.28515625" customWidth="1"/>
    <col min="8472" max="8472" width="18" customWidth="1"/>
    <col min="8473" max="8473" width="12.140625" customWidth="1"/>
    <col min="8474" max="8474" width="5.42578125" customWidth="1"/>
    <col min="8475" max="8475" width="14.5703125" customWidth="1"/>
    <col min="8476" max="8476" width="18.7109375" customWidth="1"/>
    <col min="8477" max="8477" width="8.85546875" customWidth="1"/>
    <col min="8478" max="8478" width="9.28515625" customWidth="1"/>
    <col min="8479" max="8479" width="8.85546875" customWidth="1"/>
    <col min="8480" max="8480" width="13.7109375" customWidth="1"/>
    <col min="8481" max="8481" width="5.5703125" customWidth="1"/>
    <col min="8482" max="8482" width="5.7109375" customWidth="1"/>
    <col min="8483" max="8483" width="4.85546875" customWidth="1"/>
    <col min="8484" max="8485" width="5" customWidth="1"/>
    <col min="8486" max="8486" width="4.85546875" customWidth="1"/>
    <col min="8487" max="8487" width="5" customWidth="1"/>
    <col min="8488" max="8488" width="5.28515625" customWidth="1"/>
    <col min="8489" max="8489" width="9.7109375" customWidth="1"/>
    <col min="8490" max="8490" width="10" customWidth="1"/>
    <col min="8493" max="8493" width="10.28515625" customWidth="1"/>
    <col min="8494" max="8494" width="10.7109375" customWidth="1"/>
    <col min="8495" max="8495" width="10.28515625" customWidth="1"/>
    <col min="8496" max="8496" width="10.5703125" customWidth="1"/>
    <col min="8497" max="8497" width="10.42578125" customWidth="1"/>
    <col min="8498" max="8498" width="10.5703125" customWidth="1"/>
    <col min="8499" max="8499" width="10.42578125" customWidth="1"/>
    <col min="8500" max="8500" width="10.5703125" customWidth="1"/>
    <col min="8501" max="8501" width="10.42578125" customWidth="1"/>
    <col min="8502" max="8502" width="10.5703125" customWidth="1"/>
    <col min="8503" max="8503" width="10.28515625" customWidth="1"/>
    <col min="8705" max="8705" width="10.140625" customWidth="1"/>
    <col min="8706" max="8706" width="12.7109375" customWidth="1"/>
    <col min="8707" max="8707" width="3.42578125" customWidth="1"/>
    <col min="8708" max="8708" width="3.28515625" customWidth="1"/>
    <col min="8709" max="8709" width="3.42578125" customWidth="1"/>
    <col min="8710" max="8710" width="5" customWidth="1"/>
    <col min="8711" max="8711" width="2.85546875" customWidth="1"/>
    <col min="8712" max="8712" width="3.5703125" customWidth="1"/>
    <col min="8713" max="8713" width="3.7109375" customWidth="1"/>
    <col min="8714" max="8714" width="3.28515625" customWidth="1"/>
    <col min="8715" max="8715" width="6.42578125" customWidth="1"/>
    <col min="8716" max="8716" width="8.28515625" customWidth="1"/>
    <col min="8717" max="8717" width="0.28515625" customWidth="1"/>
    <col min="8718" max="8718" width="19.28515625" customWidth="1"/>
    <col min="8719" max="8719" width="17.140625" customWidth="1"/>
    <col min="8720" max="8720" width="7.42578125" customWidth="1"/>
    <col min="8721" max="8721" width="9.28515625" customWidth="1"/>
    <col min="8722" max="8722" width="49.42578125" customWidth="1"/>
    <col min="8723" max="8726" width="9.42578125" customWidth="1"/>
    <col min="8727" max="8727" width="22.28515625" customWidth="1"/>
    <col min="8728" max="8728" width="18" customWidth="1"/>
    <col min="8729" max="8729" width="12.140625" customWidth="1"/>
    <col min="8730" max="8730" width="5.42578125" customWidth="1"/>
    <col min="8731" max="8731" width="14.5703125" customWidth="1"/>
    <col min="8732" max="8732" width="18.7109375" customWidth="1"/>
    <col min="8733" max="8733" width="8.85546875" customWidth="1"/>
    <col min="8734" max="8734" width="9.28515625" customWidth="1"/>
    <col min="8735" max="8735" width="8.85546875" customWidth="1"/>
    <col min="8736" max="8736" width="13.7109375" customWidth="1"/>
    <col min="8737" max="8737" width="5.5703125" customWidth="1"/>
    <col min="8738" max="8738" width="5.7109375" customWidth="1"/>
    <col min="8739" max="8739" width="4.85546875" customWidth="1"/>
    <col min="8740" max="8741" width="5" customWidth="1"/>
    <col min="8742" max="8742" width="4.85546875" customWidth="1"/>
    <col min="8743" max="8743" width="5" customWidth="1"/>
    <col min="8744" max="8744" width="5.28515625" customWidth="1"/>
    <col min="8745" max="8745" width="9.7109375" customWidth="1"/>
    <col min="8746" max="8746" width="10" customWidth="1"/>
    <col min="8749" max="8749" width="10.28515625" customWidth="1"/>
    <col min="8750" max="8750" width="10.7109375" customWidth="1"/>
    <col min="8751" max="8751" width="10.28515625" customWidth="1"/>
    <col min="8752" max="8752" width="10.5703125" customWidth="1"/>
    <col min="8753" max="8753" width="10.42578125" customWidth="1"/>
    <col min="8754" max="8754" width="10.5703125" customWidth="1"/>
    <col min="8755" max="8755" width="10.42578125" customWidth="1"/>
    <col min="8756" max="8756" width="10.5703125" customWidth="1"/>
    <col min="8757" max="8757" width="10.42578125" customWidth="1"/>
    <col min="8758" max="8758" width="10.5703125" customWidth="1"/>
    <col min="8759" max="8759" width="10.28515625" customWidth="1"/>
    <col min="8961" max="8961" width="10.140625" customWidth="1"/>
    <col min="8962" max="8962" width="12.7109375" customWidth="1"/>
    <col min="8963" max="8963" width="3.42578125" customWidth="1"/>
    <col min="8964" max="8964" width="3.28515625" customWidth="1"/>
    <col min="8965" max="8965" width="3.42578125" customWidth="1"/>
    <col min="8966" max="8966" width="5" customWidth="1"/>
    <col min="8967" max="8967" width="2.85546875" customWidth="1"/>
    <col min="8968" max="8968" width="3.5703125" customWidth="1"/>
    <col min="8969" max="8969" width="3.7109375" customWidth="1"/>
    <col min="8970" max="8970" width="3.28515625" customWidth="1"/>
    <col min="8971" max="8971" width="6.42578125" customWidth="1"/>
    <col min="8972" max="8972" width="8.28515625" customWidth="1"/>
    <col min="8973" max="8973" width="0.28515625" customWidth="1"/>
    <col min="8974" max="8974" width="19.28515625" customWidth="1"/>
    <col min="8975" max="8975" width="17.140625" customWidth="1"/>
    <col min="8976" max="8976" width="7.42578125" customWidth="1"/>
    <col min="8977" max="8977" width="9.28515625" customWidth="1"/>
    <col min="8978" max="8978" width="49.42578125" customWidth="1"/>
    <col min="8979" max="8982" width="9.42578125" customWidth="1"/>
    <col min="8983" max="8983" width="22.28515625" customWidth="1"/>
    <col min="8984" max="8984" width="18" customWidth="1"/>
    <col min="8985" max="8985" width="12.140625" customWidth="1"/>
    <col min="8986" max="8986" width="5.42578125" customWidth="1"/>
    <col min="8987" max="8987" width="14.5703125" customWidth="1"/>
    <col min="8988" max="8988" width="18.7109375" customWidth="1"/>
    <col min="8989" max="8989" width="8.85546875" customWidth="1"/>
    <col min="8990" max="8990" width="9.28515625" customWidth="1"/>
    <col min="8991" max="8991" width="8.85546875" customWidth="1"/>
    <col min="8992" max="8992" width="13.7109375" customWidth="1"/>
    <col min="8993" max="8993" width="5.5703125" customWidth="1"/>
    <col min="8994" max="8994" width="5.7109375" customWidth="1"/>
    <col min="8995" max="8995" width="4.85546875" customWidth="1"/>
    <col min="8996" max="8997" width="5" customWidth="1"/>
    <col min="8998" max="8998" width="4.85546875" customWidth="1"/>
    <col min="8999" max="8999" width="5" customWidth="1"/>
    <col min="9000" max="9000" width="5.28515625" customWidth="1"/>
    <col min="9001" max="9001" width="9.7109375" customWidth="1"/>
    <col min="9002" max="9002" width="10" customWidth="1"/>
    <col min="9005" max="9005" width="10.28515625" customWidth="1"/>
    <col min="9006" max="9006" width="10.7109375" customWidth="1"/>
    <col min="9007" max="9007" width="10.28515625" customWidth="1"/>
    <col min="9008" max="9008" width="10.5703125" customWidth="1"/>
    <col min="9009" max="9009" width="10.42578125" customWidth="1"/>
    <col min="9010" max="9010" width="10.5703125" customWidth="1"/>
    <col min="9011" max="9011" width="10.42578125" customWidth="1"/>
    <col min="9012" max="9012" width="10.5703125" customWidth="1"/>
    <col min="9013" max="9013" width="10.42578125" customWidth="1"/>
    <col min="9014" max="9014" width="10.5703125" customWidth="1"/>
    <col min="9015" max="9015" width="10.28515625" customWidth="1"/>
    <col min="9217" max="9217" width="10.140625" customWidth="1"/>
    <col min="9218" max="9218" width="12.7109375" customWidth="1"/>
    <col min="9219" max="9219" width="3.42578125" customWidth="1"/>
    <col min="9220" max="9220" width="3.28515625" customWidth="1"/>
    <col min="9221" max="9221" width="3.42578125" customWidth="1"/>
    <col min="9222" max="9222" width="5" customWidth="1"/>
    <col min="9223" max="9223" width="2.85546875" customWidth="1"/>
    <col min="9224" max="9224" width="3.5703125" customWidth="1"/>
    <col min="9225" max="9225" width="3.7109375" customWidth="1"/>
    <col min="9226" max="9226" width="3.28515625" customWidth="1"/>
    <col min="9227" max="9227" width="6.42578125" customWidth="1"/>
    <col min="9228" max="9228" width="8.28515625" customWidth="1"/>
    <col min="9229" max="9229" width="0.28515625" customWidth="1"/>
    <col min="9230" max="9230" width="19.28515625" customWidth="1"/>
    <col min="9231" max="9231" width="17.140625" customWidth="1"/>
    <col min="9232" max="9232" width="7.42578125" customWidth="1"/>
    <col min="9233" max="9233" width="9.28515625" customWidth="1"/>
    <col min="9234" max="9234" width="49.42578125" customWidth="1"/>
    <col min="9235" max="9238" width="9.42578125" customWidth="1"/>
    <col min="9239" max="9239" width="22.28515625" customWidth="1"/>
    <col min="9240" max="9240" width="18" customWidth="1"/>
    <col min="9241" max="9241" width="12.140625" customWidth="1"/>
    <col min="9242" max="9242" width="5.42578125" customWidth="1"/>
    <col min="9243" max="9243" width="14.5703125" customWidth="1"/>
    <col min="9244" max="9244" width="18.7109375" customWidth="1"/>
    <col min="9245" max="9245" width="8.85546875" customWidth="1"/>
    <col min="9246" max="9246" width="9.28515625" customWidth="1"/>
    <col min="9247" max="9247" width="8.85546875" customWidth="1"/>
    <col min="9248" max="9248" width="13.7109375" customWidth="1"/>
    <col min="9249" max="9249" width="5.5703125" customWidth="1"/>
    <col min="9250" max="9250" width="5.7109375" customWidth="1"/>
    <col min="9251" max="9251" width="4.85546875" customWidth="1"/>
    <col min="9252" max="9253" width="5" customWidth="1"/>
    <col min="9254" max="9254" width="4.85546875" customWidth="1"/>
    <col min="9255" max="9255" width="5" customWidth="1"/>
    <col min="9256" max="9256" width="5.28515625" customWidth="1"/>
    <col min="9257" max="9257" width="9.7109375" customWidth="1"/>
    <col min="9258" max="9258" width="10" customWidth="1"/>
    <col min="9261" max="9261" width="10.28515625" customWidth="1"/>
    <col min="9262" max="9262" width="10.7109375" customWidth="1"/>
    <col min="9263" max="9263" width="10.28515625" customWidth="1"/>
    <col min="9264" max="9264" width="10.5703125" customWidth="1"/>
    <col min="9265" max="9265" width="10.42578125" customWidth="1"/>
    <col min="9266" max="9266" width="10.5703125" customWidth="1"/>
    <col min="9267" max="9267" width="10.42578125" customWidth="1"/>
    <col min="9268" max="9268" width="10.5703125" customWidth="1"/>
    <col min="9269" max="9269" width="10.42578125" customWidth="1"/>
    <col min="9270" max="9270" width="10.5703125" customWidth="1"/>
    <col min="9271" max="9271" width="10.28515625" customWidth="1"/>
    <col min="9473" max="9473" width="10.140625" customWidth="1"/>
    <col min="9474" max="9474" width="12.7109375" customWidth="1"/>
    <col min="9475" max="9475" width="3.42578125" customWidth="1"/>
    <col min="9476" max="9476" width="3.28515625" customWidth="1"/>
    <col min="9477" max="9477" width="3.42578125" customWidth="1"/>
    <col min="9478" max="9478" width="5" customWidth="1"/>
    <col min="9479" max="9479" width="2.85546875" customWidth="1"/>
    <col min="9480" max="9480" width="3.5703125" customWidth="1"/>
    <col min="9481" max="9481" width="3.7109375" customWidth="1"/>
    <col min="9482" max="9482" width="3.28515625" customWidth="1"/>
    <col min="9483" max="9483" width="6.42578125" customWidth="1"/>
    <col min="9484" max="9484" width="8.28515625" customWidth="1"/>
    <col min="9485" max="9485" width="0.28515625" customWidth="1"/>
    <col min="9486" max="9486" width="19.28515625" customWidth="1"/>
    <col min="9487" max="9487" width="17.140625" customWidth="1"/>
    <col min="9488" max="9488" width="7.42578125" customWidth="1"/>
    <col min="9489" max="9489" width="9.28515625" customWidth="1"/>
    <col min="9490" max="9490" width="49.42578125" customWidth="1"/>
    <col min="9491" max="9494" width="9.42578125" customWidth="1"/>
    <col min="9495" max="9495" width="22.28515625" customWidth="1"/>
    <col min="9496" max="9496" width="18" customWidth="1"/>
    <col min="9497" max="9497" width="12.140625" customWidth="1"/>
    <col min="9498" max="9498" width="5.42578125" customWidth="1"/>
    <col min="9499" max="9499" width="14.5703125" customWidth="1"/>
    <col min="9500" max="9500" width="18.7109375" customWidth="1"/>
    <col min="9501" max="9501" width="8.85546875" customWidth="1"/>
    <col min="9502" max="9502" width="9.28515625" customWidth="1"/>
    <col min="9503" max="9503" width="8.85546875" customWidth="1"/>
    <col min="9504" max="9504" width="13.7109375" customWidth="1"/>
    <col min="9505" max="9505" width="5.5703125" customWidth="1"/>
    <col min="9506" max="9506" width="5.7109375" customWidth="1"/>
    <col min="9507" max="9507" width="4.85546875" customWidth="1"/>
    <col min="9508" max="9509" width="5" customWidth="1"/>
    <col min="9510" max="9510" width="4.85546875" customWidth="1"/>
    <col min="9511" max="9511" width="5" customWidth="1"/>
    <col min="9512" max="9512" width="5.28515625" customWidth="1"/>
    <col min="9513" max="9513" width="9.7109375" customWidth="1"/>
    <col min="9514" max="9514" width="10" customWidth="1"/>
    <col min="9517" max="9517" width="10.28515625" customWidth="1"/>
    <col min="9518" max="9518" width="10.7109375" customWidth="1"/>
    <col min="9519" max="9519" width="10.28515625" customWidth="1"/>
    <col min="9520" max="9520" width="10.5703125" customWidth="1"/>
    <col min="9521" max="9521" width="10.42578125" customWidth="1"/>
    <col min="9522" max="9522" width="10.5703125" customWidth="1"/>
    <col min="9523" max="9523" width="10.42578125" customWidth="1"/>
    <col min="9524" max="9524" width="10.5703125" customWidth="1"/>
    <col min="9525" max="9525" width="10.42578125" customWidth="1"/>
    <col min="9526" max="9526" width="10.5703125" customWidth="1"/>
    <col min="9527" max="9527" width="10.28515625" customWidth="1"/>
    <col min="9729" max="9729" width="10.140625" customWidth="1"/>
    <col min="9730" max="9730" width="12.7109375" customWidth="1"/>
    <col min="9731" max="9731" width="3.42578125" customWidth="1"/>
    <col min="9732" max="9732" width="3.28515625" customWidth="1"/>
    <col min="9733" max="9733" width="3.42578125" customWidth="1"/>
    <col min="9734" max="9734" width="5" customWidth="1"/>
    <col min="9735" max="9735" width="2.85546875" customWidth="1"/>
    <col min="9736" max="9736" width="3.5703125" customWidth="1"/>
    <col min="9737" max="9737" width="3.7109375" customWidth="1"/>
    <col min="9738" max="9738" width="3.28515625" customWidth="1"/>
    <col min="9739" max="9739" width="6.42578125" customWidth="1"/>
    <col min="9740" max="9740" width="8.28515625" customWidth="1"/>
    <col min="9741" max="9741" width="0.28515625" customWidth="1"/>
    <col min="9742" max="9742" width="19.28515625" customWidth="1"/>
    <col min="9743" max="9743" width="17.140625" customWidth="1"/>
    <col min="9744" max="9744" width="7.42578125" customWidth="1"/>
    <col min="9745" max="9745" width="9.28515625" customWidth="1"/>
    <col min="9746" max="9746" width="49.42578125" customWidth="1"/>
    <col min="9747" max="9750" width="9.42578125" customWidth="1"/>
    <col min="9751" max="9751" width="22.28515625" customWidth="1"/>
    <col min="9752" max="9752" width="18" customWidth="1"/>
    <col min="9753" max="9753" width="12.140625" customWidth="1"/>
    <col min="9754" max="9754" width="5.42578125" customWidth="1"/>
    <col min="9755" max="9755" width="14.5703125" customWidth="1"/>
    <col min="9756" max="9756" width="18.7109375" customWidth="1"/>
    <col min="9757" max="9757" width="8.85546875" customWidth="1"/>
    <col min="9758" max="9758" width="9.28515625" customWidth="1"/>
    <col min="9759" max="9759" width="8.85546875" customWidth="1"/>
    <col min="9760" max="9760" width="13.7109375" customWidth="1"/>
    <col min="9761" max="9761" width="5.5703125" customWidth="1"/>
    <col min="9762" max="9762" width="5.7109375" customWidth="1"/>
    <col min="9763" max="9763" width="4.85546875" customWidth="1"/>
    <col min="9764" max="9765" width="5" customWidth="1"/>
    <col min="9766" max="9766" width="4.85546875" customWidth="1"/>
    <col min="9767" max="9767" width="5" customWidth="1"/>
    <col min="9768" max="9768" width="5.28515625" customWidth="1"/>
    <col min="9769" max="9769" width="9.7109375" customWidth="1"/>
    <col min="9770" max="9770" width="10" customWidth="1"/>
    <col min="9773" max="9773" width="10.28515625" customWidth="1"/>
    <col min="9774" max="9774" width="10.7109375" customWidth="1"/>
    <col min="9775" max="9775" width="10.28515625" customWidth="1"/>
    <col min="9776" max="9776" width="10.5703125" customWidth="1"/>
    <col min="9777" max="9777" width="10.42578125" customWidth="1"/>
    <col min="9778" max="9778" width="10.5703125" customWidth="1"/>
    <col min="9779" max="9779" width="10.42578125" customWidth="1"/>
    <col min="9780" max="9780" width="10.5703125" customWidth="1"/>
    <col min="9781" max="9781" width="10.42578125" customWidth="1"/>
    <col min="9782" max="9782" width="10.5703125" customWidth="1"/>
    <col min="9783" max="9783" width="10.28515625" customWidth="1"/>
    <col min="9985" max="9985" width="10.140625" customWidth="1"/>
    <col min="9986" max="9986" width="12.7109375" customWidth="1"/>
    <col min="9987" max="9987" width="3.42578125" customWidth="1"/>
    <col min="9988" max="9988" width="3.28515625" customWidth="1"/>
    <col min="9989" max="9989" width="3.42578125" customWidth="1"/>
    <col min="9990" max="9990" width="5" customWidth="1"/>
    <col min="9991" max="9991" width="2.85546875" customWidth="1"/>
    <col min="9992" max="9992" width="3.5703125" customWidth="1"/>
    <col min="9993" max="9993" width="3.7109375" customWidth="1"/>
    <col min="9994" max="9994" width="3.28515625" customWidth="1"/>
    <col min="9995" max="9995" width="6.42578125" customWidth="1"/>
    <col min="9996" max="9996" width="8.28515625" customWidth="1"/>
    <col min="9997" max="9997" width="0.28515625" customWidth="1"/>
    <col min="9998" max="9998" width="19.28515625" customWidth="1"/>
    <col min="9999" max="9999" width="17.140625" customWidth="1"/>
    <col min="10000" max="10000" width="7.42578125" customWidth="1"/>
    <col min="10001" max="10001" width="9.28515625" customWidth="1"/>
    <col min="10002" max="10002" width="49.42578125" customWidth="1"/>
    <col min="10003" max="10006" width="9.42578125" customWidth="1"/>
    <col min="10007" max="10007" width="22.28515625" customWidth="1"/>
    <col min="10008" max="10008" width="18" customWidth="1"/>
    <col min="10009" max="10009" width="12.140625" customWidth="1"/>
    <col min="10010" max="10010" width="5.42578125" customWidth="1"/>
    <col min="10011" max="10011" width="14.5703125" customWidth="1"/>
    <col min="10012" max="10012" width="18.7109375" customWidth="1"/>
    <col min="10013" max="10013" width="8.85546875" customWidth="1"/>
    <col min="10014" max="10014" width="9.28515625" customWidth="1"/>
    <col min="10015" max="10015" width="8.85546875" customWidth="1"/>
    <col min="10016" max="10016" width="13.7109375" customWidth="1"/>
    <col min="10017" max="10017" width="5.5703125" customWidth="1"/>
    <col min="10018" max="10018" width="5.7109375" customWidth="1"/>
    <col min="10019" max="10019" width="4.85546875" customWidth="1"/>
    <col min="10020" max="10021" width="5" customWidth="1"/>
    <col min="10022" max="10022" width="4.85546875" customWidth="1"/>
    <col min="10023" max="10023" width="5" customWidth="1"/>
    <col min="10024" max="10024" width="5.28515625" customWidth="1"/>
    <col min="10025" max="10025" width="9.7109375" customWidth="1"/>
    <col min="10026" max="10026" width="10" customWidth="1"/>
    <col min="10029" max="10029" width="10.28515625" customWidth="1"/>
    <col min="10030" max="10030" width="10.7109375" customWidth="1"/>
    <col min="10031" max="10031" width="10.28515625" customWidth="1"/>
    <col min="10032" max="10032" width="10.5703125" customWidth="1"/>
    <col min="10033" max="10033" width="10.42578125" customWidth="1"/>
    <col min="10034" max="10034" width="10.5703125" customWidth="1"/>
    <col min="10035" max="10035" width="10.42578125" customWidth="1"/>
    <col min="10036" max="10036" width="10.5703125" customWidth="1"/>
    <col min="10037" max="10037" width="10.42578125" customWidth="1"/>
    <col min="10038" max="10038" width="10.5703125" customWidth="1"/>
    <col min="10039" max="10039" width="10.28515625" customWidth="1"/>
    <col min="10241" max="10241" width="10.140625" customWidth="1"/>
    <col min="10242" max="10242" width="12.7109375" customWidth="1"/>
    <col min="10243" max="10243" width="3.42578125" customWidth="1"/>
    <col min="10244" max="10244" width="3.28515625" customWidth="1"/>
    <col min="10245" max="10245" width="3.42578125" customWidth="1"/>
    <col min="10246" max="10246" width="5" customWidth="1"/>
    <col min="10247" max="10247" width="2.85546875" customWidth="1"/>
    <col min="10248" max="10248" width="3.5703125" customWidth="1"/>
    <col min="10249" max="10249" width="3.7109375" customWidth="1"/>
    <col min="10250" max="10250" width="3.28515625" customWidth="1"/>
    <col min="10251" max="10251" width="6.42578125" customWidth="1"/>
    <col min="10252" max="10252" width="8.28515625" customWidth="1"/>
    <col min="10253" max="10253" width="0.28515625" customWidth="1"/>
    <col min="10254" max="10254" width="19.28515625" customWidth="1"/>
    <col min="10255" max="10255" width="17.140625" customWidth="1"/>
    <col min="10256" max="10256" width="7.42578125" customWidth="1"/>
    <col min="10257" max="10257" width="9.28515625" customWidth="1"/>
    <col min="10258" max="10258" width="49.42578125" customWidth="1"/>
    <col min="10259" max="10262" width="9.42578125" customWidth="1"/>
    <col min="10263" max="10263" width="22.28515625" customWidth="1"/>
    <col min="10264" max="10264" width="18" customWidth="1"/>
    <col min="10265" max="10265" width="12.140625" customWidth="1"/>
    <col min="10266" max="10266" width="5.42578125" customWidth="1"/>
    <col min="10267" max="10267" width="14.5703125" customWidth="1"/>
    <col min="10268" max="10268" width="18.7109375" customWidth="1"/>
    <col min="10269" max="10269" width="8.85546875" customWidth="1"/>
    <col min="10270" max="10270" width="9.28515625" customWidth="1"/>
    <col min="10271" max="10271" width="8.85546875" customWidth="1"/>
    <col min="10272" max="10272" width="13.7109375" customWidth="1"/>
    <col min="10273" max="10273" width="5.5703125" customWidth="1"/>
    <col min="10274" max="10274" width="5.7109375" customWidth="1"/>
    <col min="10275" max="10275" width="4.85546875" customWidth="1"/>
    <col min="10276" max="10277" width="5" customWidth="1"/>
    <col min="10278" max="10278" width="4.85546875" customWidth="1"/>
    <col min="10279" max="10279" width="5" customWidth="1"/>
    <col min="10280" max="10280" width="5.28515625" customWidth="1"/>
    <col min="10281" max="10281" width="9.7109375" customWidth="1"/>
    <col min="10282" max="10282" width="10" customWidth="1"/>
    <col min="10285" max="10285" width="10.28515625" customWidth="1"/>
    <col min="10286" max="10286" width="10.7109375" customWidth="1"/>
    <col min="10287" max="10287" width="10.28515625" customWidth="1"/>
    <col min="10288" max="10288" width="10.5703125" customWidth="1"/>
    <col min="10289" max="10289" width="10.42578125" customWidth="1"/>
    <col min="10290" max="10290" width="10.5703125" customWidth="1"/>
    <col min="10291" max="10291" width="10.42578125" customWidth="1"/>
    <col min="10292" max="10292" width="10.5703125" customWidth="1"/>
    <col min="10293" max="10293" width="10.42578125" customWidth="1"/>
    <col min="10294" max="10294" width="10.5703125" customWidth="1"/>
    <col min="10295" max="10295" width="10.28515625" customWidth="1"/>
    <col min="10497" max="10497" width="10.140625" customWidth="1"/>
    <col min="10498" max="10498" width="12.7109375" customWidth="1"/>
    <col min="10499" max="10499" width="3.42578125" customWidth="1"/>
    <col min="10500" max="10500" width="3.28515625" customWidth="1"/>
    <col min="10501" max="10501" width="3.42578125" customWidth="1"/>
    <col min="10502" max="10502" width="5" customWidth="1"/>
    <col min="10503" max="10503" width="2.85546875" customWidth="1"/>
    <col min="10504" max="10504" width="3.5703125" customWidth="1"/>
    <col min="10505" max="10505" width="3.7109375" customWidth="1"/>
    <col min="10506" max="10506" width="3.28515625" customWidth="1"/>
    <col min="10507" max="10507" width="6.42578125" customWidth="1"/>
    <col min="10508" max="10508" width="8.28515625" customWidth="1"/>
    <col min="10509" max="10509" width="0.28515625" customWidth="1"/>
    <col min="10510" max="10510" width="19.28515625" customWidth="1"/>
    <col min="10511" max="10511" width="17.140625" customWidth="1"/>
    <col min="10512" max="10512" width="7.42578125" customWidth="1"/>
    <col min="10513" max="10513" width="9.28515625" customWidth="1"/>
    <col min="10514" max="10514" width="49.42578125" customWidth="1"/>
    <col min="10515" max="10518" width="9.42578125" customWidth="1"/>
    <col min="10519" max="10519" width="22.28515625" customWidth="1"/>
    <col min="10520" max="10520" width="18" customWidth="1"/>
    <col min="10521" max="10521" width="12.140625" customWidth="1"/>
    <col min="10522" max="10522" width="5.42578125" customWidth="1"/>
    <col min="10523" max="10523" width="14.5703125" customWidth="1"/>
    <col min="10524" max="10524" width="18.7109375" customWidth="1"/>
    <col min="10525" max="10525" width="8.85546875" customWidth="1"/>
    <col min="10526" max="10526" width="9.28515625" customWidth="1"/>
    <col min="10527" max="10527" width="8.85546875" customWidth="1"/>
    <col min="10528" max="10528" width="13.7109375" customWidth="1"/>
    <col min="10529" max="10529" width="5.5703125" customWidth="1"/>
    <col min="10530" max="10530" width="5.7109375" customWidth="1"/>
    <col min="10531" max="10531" width="4.85546875" customWidth="1"/>
    <col min="10532" max="10533" width="5" customWidth="1"/>
    <col min="10534" max="10534" width="4.85546875" customWidth="1"/>
    <col min="10535" max="10535" width="5" customWidth="1"/>
    <col min="10536" max="10536" width="5.28515625" customWidth="1"/>
    <col min="10537" max="10537" width="9.7109375" customWidth="1"/>
    <col min="10538" max="10538" width="10" customWidth="1"/>
    <col min="10541" max="10541" width="10.28515625" customWidth="1"/>
    <col min="10542" max="10542" width="10.7109375" customWidth="1"/>
    <col min="10543" max="10543" width="10.28515625" customWidth="1"/>
    <col min="10544" max="10544" width="10.5703125" customWidth="1"/>
    <col min="10545" max="10545" width="10.42578125" customWidth="1"/>
    <col min="10546" max="10546" width="10.5703125" customWidth="1"/>
    <col min="10547" max="10547" width="10.42578125" customWidth="1"/>
    <col min="10548" max="10548" width="10.5703125" customWidth="1"/>
    <col min="10549" max="10549" width="10.42578125" customWidth="1"/>
    <col min="10550" max="10550" width="10.5703125" customWidth="1"/>
    <col min="10551" max="10551" width="10.28515625" customWidth="1"/>
    <col min="10753" max="10753" width="10.140625" customWidth="1"/>
    <col min="10754" max="10754" width="12.7109375" customWidth="1"/>
    <col min="10755" max="10755" width="3.42578125" customWidth="1"/>
    <col min="10756" max="10756" width="3.28515625" customWidth="1"/>
    <col min="10757" max="10757" width="3.42578125" customWidth="1"/>
    <col min="10758" max="10758" width="5" customWidth="1"/>
    <col min="10759" max="10759" width="2.85546875" customWidth="1"/>
    <col min="10760" max="10760" width="3.5703125" customWidth="1"/>
    <col min="10761" max="10761" width="3.7109375" customWidth="1"/>
    <col min="10762" max="10762" width="3.28515625" customWidth="1"/>
    <col min="10763" max="10763" width="6.42578125" customWidth="1"/>
    <col min="10764" max="10764" width="8.28515625" customWidth="1"/>
    <col min="10765" max="10765" width="0.28515625" customWidth="1"/>
    <col min="10766" max="10766" width="19.28515625" customWidth="1"/>
    <col min="10767" max="10767" width="17.140625" customWidth="1"/>
    <col min="10768" max="10768" width="7.42578125" customWidth="1"/>
    <col min="10769" max="10769" width="9.28515625" customWidth="1"/>
    <col min="10770" max="10770" width="49.42578125" customWidth="1"/>
    <col min="10771" max="10774" width="9.42578125" customWidth="1"/>
    <col min="10775" max="10775" width="22.28515625" customWidth="1"/>
    <col min="10776" max="10776" width="18" customWidth="1"/>
    <col min="10777" max="10777" width="12.140625" customWidth="1"/>
    <col min="10778" max="10778" width="5.42578125" customWidth="1"/>
    <col min="10779" max="10779" width="14.5703125" customWidth="1"/>
    <col min="10780" max="10780" width="18.7109375" customWidth="1"/>
    <col min="10781" max="10781" width="8.85546875" customWidth="1"/>
    <col min="10782" max="10782" width="9.28515625" customWidth="1"/>
    <col min="10783" max="10783" width="8.85546875" customWidth="1"/>
    <col min="10784" max="10784" width="13.7109375" customWidth="1"/>
    <col min="10785" max="10785" width="5.5703125" customWidth="1"/>
    <col min="10786" max="10786" width="5.7109375" customWidth="1"/>
    <col min="10787" max="10787" width="4.85546875" customWidth="1"/>
    <col min="10788" max="10789" width="5" customWidth="1"/>
    <col min="10790" max="10790" width="4.85546875" customWidth="1"/>
    <col min="10791" max="10791" width="5" customWidth="1"/>
    <col min="10792" max="10792" width="5.28515625" customWidth="1"/>
    <col min="10793" max="10793" width="9.7109375" customWidth="1"/>
    <col min="10794" max="10794" width="10" customWidth="1"/>
    <col min="10797" max="10797" width="10.28515625" customWidth="1"/>
    <col min="10798" max="10798" width="10.7109375" customWidth="1"/>
    <col min="10799" max="10799" width="10.28515625" customWidth="1"/>
    <col min="10800" max="10800" width="10.5703125" customWidth="1"/>
    <col min="10801" max="10801" width="10.42578125" customWidth="1"/>
    <col min="10802" max="10802" width="10.5703125" customWidth="1"/>
    <col min="10803" max="10803" width="10.42578125" customWidth="1"/>
    <col min="10804" max="10804" width="10.5703125" customWidth="1"/>
    <col min="10805" max="10805" width="10.42578125" customWidth="1"/>
    <col min="10806" max="10806" width="10.5703125" customWidth="1"/>
    <col min="10807" max="10807" width="10.28515625" customWidth="1"/>
    <col min="11009" max="11009" width="10.140625" customWidth="1"/>
    <col min="11010" max="11010" width="12.7109375" customWidth="1"/>
    <col min="11011" max="11011" width="3.42578125" customWidth="1"/>
    <col min="11012" max="11012" width="3.28515625" customWidth="1"/>
    <col min="11013" max="11013" width="3.42578125" customWidth="1"/>
    <col min="11014" max="11014" width="5" customWidth="1"/>
    <col min="11015" max="11015" width="2.85546875" customWidth="1"/>
    <col min="11016" max="11016" width="3.5703125" customWidth="1"/>
    <col min="11017" max="11017" width="3.7109375" customWidth="1"/>
    <col min="11018" max="11018" width="3.28515625" customWidth="1"/>
    <col min="11019" max="11019" width="6.42578125" customWidth="1"/>
    <col min="11020" max="11020" width="8.28515625" customWidth="1"/>
    <col min="11021" max="11021" width="0.28515625" customWidth="1"/>
    <col min="11022" max="11022" width="19.28515625" customWidth="1"/>
    <col min="11023" max="11023" width="17.140625" customWidth="1"/>
    <col min="11024" max="11024" width="7.42578125" customWidth="1"/>
    <col min="11025" max="11025" width="9.28515625" customWidth="1"/>
    <col min="11026" max="11026" width="49.42578125" customWidth="1"/>
    <col min="11027" max="11030" width="9.42578125" customWidth="1"/>
    <col min="11031" max="11031" width="22.28515625" customWidth="1"/>
    <col min="11032" max="11032" width="18" customWidth="1"/>
    <col min="11033" max="11033" width="12.140625" customWidth="1"/>
    <col min="11034" max="11034" width="5.42578125" customWidth="1"/>
    <col min="11035" max="11035" width="14.5703125" customWidth="1"/>
    <col min="11036" max="11036" width="18.7109375" customWidth="1"/>
    <col min="11037" max="11037" width="8.85546875" customWidth="1"/>
    <col min="11038" max="11038" width="9.28515625" customWidth="1"/>
    <col min="11039" max="11039" width="8.85546875" customWidth="1"/>
    <col min="11040" max="11040" width="13.7109375" customWidth="1"/>
    <col min="11041" max="11041" width="5.5703125" customWidth="1"/>
    <col min="11042" max="11042" width="5.7109375" customWidth="1"/>
    <col min="11043" max="11043" width="4.85546875" customWidth="1"/>
    <col min="11044" max="11045" width="5" customWidth="1"/>
    <col min="11046" max="11046" width="4.85546875" customWidth="1"/>
    <col min="11047" max="11047" width="5" customWidth="1"/>
    <col min="11048" max="11048" width="5.28515625" customWidth="1"/>
    <col min="11049" max="11049" width="9.7109375" customWidth="1"/>
    <col min="11050" max="11050" width="10" customWidth="1"/>
    <col min="11053" max="11053" width="10.28515625" customWidth="1"/>
    <col min="11054" max="11054" width="10.7109375" customWidth="1"/>
    <col min="11055" max="11055" width="10.28515625" customWidth="1"/>
    <col min="11056" max="11056" width="10.5703125" customWidth="1"/>
    <col min="11057" max="11057" width="10.42578125" customWidth="1"/>
    <col min="11058" max="11058" width="10.5703125" customWidth="1"/>
    <col min="11059" max="11059" width="10.42578125" customWidth="1"/>
    <col min="11060" max="11060" width="10.5703125" customWidth="1"/>
    <col min="11061" max="11061" width="10.42578125" customWidth="1"/>
    <col min="11062" max="11062" width="10.5703125" customWidth="1"/>
    <col min="11063" max="11063" width="10.28515625" customWidth="1"/>
    <col min="11265" max="11265" width="10.140625" customWidth="1"/>
    <col min="11266" max="11266" width="12.7109375" customWidth="1"/>
    <col min="11267" max="11267" width="3.42578125" customWidth="1"/>
    <col min="11268" max="11268" width="3.28515625" customWidth="1"/>
    <col min="11269" max="11269" width="3.42578125" customWidth="1"/>
    <col min="11270" max="11270" width="5" customWidth="1"/>
    <col min="11271" max="11271" width="2.85546875" customWidth="1"/>
    <col min="11272" max="11272" width="3.5703125" customWidth="1"/>
    <col min="11273" max="11273" width="3.7109375" customWidth="1"/>
    <col min="11274" max="11274" width="3.28515625" customWidth="1"/>
    <col min="11275" max="11275" width="6.42578125" customWidth="1"/>
    <col min="11276" max="11276" width="8.28515625" customWidth="1"/>
    <col min="11277" max="11277" width="0.28515625" customWidth="1"/>
    <col min="11278" max="11278" width="19.28515625" customWidth="1"/>
    <col min="11279" max="11279" width="17.140625" customWidth="1"/>
    <col min="11280" max="11280" width="7.42578125" customWidth="1"/>
    <col min="11281" max="11281" width="9.28515625" customWidth="1"/>
    <col min="11282" max="11282" width="49.42578125" customWidth="1"/>
    <col min="11283" max="11286" width="9.42578125" customWidth="1"/>
    <col min="11287" max="11287" width="22.28515625" customWidth="1"/>
    <col min="11288" max="11288" width="18" customWidth="1"/>
    <col min="11289" max="11289" width="12.140625" customWidth="1"/>
    <col min="11290" max="11290" width="5.42578125" customWidth="1"/>
    <col min="11291" max="11291" width="14.5703125" customWidth="1"/>
    <col min="11292" max="11292" width="18.7109375" customWidth="1"/>
    <col min="11293" max="11293" width="8.85546875" customWidth="1"/>
    <col min="11294" max="11294" width="9.28515625" customWidth="1"/>
    <col min="11295" max="11295" width="8.85546875" customWidth="1"/>
    <col min="11296" max="11296" width="13.7109375" customWidth="1"/>
    <col min="11297" max="11297" width="5.5703125" customWidth="1"/>
    <col min="11298" max="11298" width="5.7109375" customWidth="1"/>
    <col min="11299" max="11299" width="4.85546875" customWidth="1"/>
    <col min="11300" max="11301" width="5" customWidth="1"/>
    <col min="11302" max="11302" width="4.85546875" customWidth="1"/>
    <col min="11303" max="11303" width="5" customWidth="1"/>
    <col min="11304" max="11304" width="5.28515625" customWidth="1"/>
    <col min="11305" max="11305" width="9.7109375" customWidth="1"/>
    <col min="11306" max="11306" width="10" customWidth="1"/>
    <col min="11309" max="11309" width="10.28515625" customWidth="1"/>
    <col min="11310" max="11310" width="10.7109375" customWidth="1"/>
    <col min="11311" max="11311" width="10.28515625" customWidth="1"/>
    <col min="11312" max="11312" width="10.5703125" customWidth="1"/>
    <col min="11313" max="11313" width="10.42578125" customWidth="1"/>
    <col min="11314" max="11314" width="10.5703125" customWidth="1"/>
    <col min="11315" max="11315" width="10.42578125" customWidth="1"/>
    <col min="11316" max="11316" width="10.5703125" customWidth="1"/>
    <col min="11317" max="11317" width="10.42578125" customWidth="1"/>
    <col min="11318" max="11318" width="10.5703125" customWidth="1"/>
    <col min="11319" max="11319" width="10.28515625" customWidth="1"/>
    <col min="11521" max="11521" width="10.140625" customWidth="1"/>
    <col min="11522" max="11522" width="12.7109375" customWidth="1"/>
    <col min="11523" max="11523" width="3.42578125" customWidth="1"/>
    <col min="11524" max="11524" width="3.28515625" customWidth="1"/>
    <col min="11525" max="11525" width="3.42578125" customWidth="1"/>
    <col min="11526" max="11526" width="5" customWidth="1"/>
    <col min="11527" max="11527" width="2.85546875" customWidth="1"/>
    <col min="11528" max="11528" width="3.5703125" customWidth="1"/>
    <col min="11529" max="11529" width="3.7109375" customWidth="1"/>
    <col min="11530" max="11530" width="3.28515625" customWidth="1"/>
    <col min="11531" max="11531" width="6.42578125" customWidth="1"/>
    <col min="11532" max="11532" width="8.28515625" customWidth="1"/>
    <col min="11533" max="11533" width="0.28515625" customWidth="1"/>
    <col min="11534" max="11534" width="19.28515625" customWidth="1"/>
    <col min="11535" max="11535" width="17.140625" customWidth="1"/>
    <col min="11536" max="11536" width="7.42578125" customWidth="1"/>
    <col min="11537" max="11537" width="9.28515625" customWidth="1"/>
    <col min="11538" max="11538" width="49.42578125" customWidth="1"/>
    <col min="11539" max="11542" width="9.42578125" customWidth="1"/>
    <col min="11543" max="11543" width="22.28515625" customWidth="1"/>
    <col min="11544" max="11544" width="18" customWidth="1"/>
    <col min="11545" max="11545" width="12.140625" customWidth="1"/>
    <col min="11546" max="11546" width="5.42578125" customWidth="1"/>
    <col min="11547" max="11547" width="14.5703125" customWidth="1"/>
    <col min="11548" max="11548" width="18.7109375" customWidth="1"/>
    <col min="11549" max="11549" width="8.85546875" customWidth="1"/>
    <col min="11550" max="11550" width="9.28515625" customWidth="1"/>
    <col min="11551" max="11551" width="8.85546875" customWidth="1"/>
    <col min="11552" max="11552" width="13.7109375" customWidth="1"/>
    <col min="11553" max="11553" width="5.5703125" customWidth="1"/>
    <col min="11554" max="11554" width="5.7109375" customWidth="1"/>
    <col min="11555" max="11555" width="4.85546875" customWidth="1"/>
    <col min="11556" max="11557" width="5" customWidth="1"/>
    <col min="11558" max="11558" width="4.85546875" customWidth="1"/>
    <col min="11559" max="11559" width="5" customWidth="1"/>
    <col min="11560" max="11560" width="5.28515625" customWidth="1"/>
    <col min="11561" max="11561" width="9.7109375" customWidth="1"/>
    <col min="11562" max="11562" width="10" customWidth="1"/>
    <col min="11565" max="11565" width="10.28515625" customWidth="1"/>
    <col min="11566" max="11566" width="10.7109375" customWidth="1"/>
    <col min="11567" max="11567" width="10.28515625" customWidth="1"/>
    <col min="11568" max="11568" width="10.5703125" customWidth="1"/>
    <col min="11569" max="11569" width="10.42578125" customWidth="1"/>
    <col min="11570" max="11570" width="10.5703125" customWidth="1"/>
    <col min="11571" max="11571" width="10.42578125" customWidth="1"/>
    <col min="11572" max="11572" width="10.5703125" customWidth="1"/>
    <col min="11573" max="11573" width="10.42578125" customWidth="1"/>
    <col min="11574" max="11574" width="10.5703125" customWidth="1"/>
    <col min="11575" max="11575" width="10.28515625" customWidth="1"/>
    <col min="11777" max="11777" width="10.140625" customWidth="1"/>
    <col min="11778" max="11778" width="12.7109375" customWidth="1"/>
    <col min="11779" max="11779" width="3.42578125" customWidth="1"/>
    <col min="11780" max="11780" width="3.28515625" customWidth="1"/>
    <col min="11781" max="11781" width="3.42578125" customWidth="1"/>
    <col min="11782" max="11782" width="5" customWidth="1"/>
    <col min="11783" max="11783" width="2.85546875" customWidth="1"/>
    <col min="11784" max="11784" width="3.5703125" customWidth="1"/>
    <col min="11785" max="11785" width="3.7109375" customWidth="1"/>
    <col min="11786" max="11786" width="3.28515625" customWidth="1"/>
    <col min="11787" max="11787" width="6.42578125" customWidth="1"/>
    <col min="11788" max="11788" width="8.28515625" customWidth="1"/>
    <col min="11789" max="11789" width="0.28515625" customWidth="1"/>
    <col min="11790" max="11790" width="19.28515625" customWidth="1"/>
    <col min="11791" max="11791" width="17.140625" customWidth="1"/>
    <col min="11792" max="11792" width="7.42578125" customWidth="1"/>
    <col min="11793" max="11793" width="9.28515625" customWidth="1"/>
    <col min="11794" max="11794" width="49.42578125" customWidth="1"/>
    <col min="11795" max="11798" width="9.42578125" customWidth="1"/>
    <col min="11799" max="11799" width="22.28515625" customWidth="1"/>
    <col min="11800" max="11800" width="18" customWidth="1"/>
    <col min="11801" max="11801" width="12.140625" customWidth="1"/>
    <col min="11802" max="11802" width="5.42578125" customWidth="1"/>
    <col min="11803" max="11803" width="14.5703125" customWidth="1"/>
    <col min="11804" max="11804" width="18.7109375" customWidth="1"/>
    <col min="11805" max="11805" width="8.85546875" customWidth="1"/>
    <col min="11806" max="11806" width="9.28515625" customWidth="1"/>
    <col min="11807" max="11807" width="8.85546875" customWidth="1"/>
    <col min="11808" max="11808" width="13.7109375" customWidth="1"/>
    <col min="11809" max="11809" width="5.5703125" customWidth="1"/>
    <col min="11810" max="11810" width="5.7109375" customWidth="1"/>
    <col min="11811" max="11811" width="4.85546875" customWidth="1"/>
    <col min="11812" max="11813" width="5" customWidth="1"/>
    <col min="11814" max="11814" width="4.85546875" customWidth="1"/>
    <col min="11815" max="11815" width="5" customWidth="1"/>
    <col min="11816" max="11816" width="5.28515625" customWidth="1"/>
    <col min="11817" max="11817" width="9.7109375" customWidth="1"/>
    <col min="11818" max="11818" width="10" customWidth="1"/>
    <col min="11821" max="11821" width="10.28515625" customWidth="1"/>
    <col min="11822" max="11822" width="10.7109375" customWidth="1"/>
    <col min="11823" max="11823" width="10.28515625" customWidth="1"/>
    <col min="11824" max="11824" width="10.5703125" customWidth="1"/>
    <col min="11825" max="11825" width="10.42578125" customWidth="1"/>
    <col min="11826" max="11826" width="10.5703125" customWidth="1"/>
    <col min="11827" max="11827" width="10.42578125" customWidth="1"/>
    <col min="11828" max="11828" width="10.5703125" customWidth="1"/>
    <col min="11829" max="11829" width="10.42578125" customWidth="1"/>
    <col min="11830" max="11830" width="10.5703125" customWidth="1"/>
    <col min="11831" max="11831" width="10.28515625" customWidth="1"/>
    <col min="12033" max="12033" width="10.140625" customWidth="1"/>
    <col min="12034" max="12034" width="12.7109375" customWidth="1"/>
    <col min="12035" max="12035" width="3.42578125" customWidth="1"/>
    <col min="12036" max="12036" width="3.28515625" customWidth="1"/>
    <col min="12037" max="12037" width="3.42578125" customWidth="1"/>
    <col min="12038" max="12038" width="5" customWidth="1"/>
    <col min="12039" max="12039" width="2.85546875" customWidth="1"/>
    <col min="12040" max="12040" width="3.5703125" customWidth="1"/>
    <col min="12041" max="12041" width="3.7109375" customWidth="1"/>
    <col min="12042" max="12042" width="3.28515625" customWidth="1"/>
    <col min="12043" max="12043" width="6.42578125" customWidth="1"/>
    <col min="12044" max="12044" width="8.28515625" customWidth="1"/>
    <col min="12045" max="12045" width="0.28515625" customWidth="1"/>
    <col min="12046" max="12046" width="19.28515625" customWidth="1"/>
    <col min="12047" max="12047" width="17.140625" customWidth="1"/>
    <col min="12048" max="12048" width="7.42578125" customWidth="1"/>
    <col min="12049" max="12049" width="9.28515625" customWidth="1"/>
    <col min="12050" max="12050" width="49.42578125" customWidth="1"/>
    <col min="12051" max="12054" width="9.42578125" customWidth="1"/>
    <col min="12055" max="12055" width="22.28515625" customWidth="1"/>
    <col min="12056" max="12056" width="18" customWidth="1"/>
    <col min="12057" max="12057" width="12.140625" customWidth="1"/>
    <col min="12058" max="12058" width="5.42578125" customWidth="1"/>
    <col min="12059" max="12059" width="14.5703125" customWidth="1"/>
    <col min="12060" max="12060" width="18.7109375" customWidth="1"/>
    <col min="12061" max="12061" width="8.85546875" customWidth="1"/>
    <col min="12062" max="12062" width="9.28515625" customWidth="1"/>
    <col min="12063" max="12063" width="8.85546875" customWidth="1"/>
    <col min="12064" max="12064" width="13.7109375" customWidth="1"/>
    <col min="12065" max="12065" width="5.5703125" customWidth="1"/>
    <col min="12066" max="12066" width="5.7109375" customWidth="1"/>
    <col min="12067" max="12067" width="4.85546875" customWidth="1"/>
    <col min="12068" max="12069" width="5" customWidth="1"/>
    <col min="12070" max="12070" width="4.85546875" customWidth="1"/>
    <col min="12071" max="12071" width="5" customWidth="1"/>
    <col min="12072" max="12072" width="5.28515625" customWidth="1"/>
    <col min="12073" max="12073" width="9.7109375" customWidth="1"/>
    <col min="12074" max="12074" width="10" customWidth="1"/>
    <col min="12077" max="12077" width="10.28515625" customWidth="1"/>
    <col min="12078" max="12078" width="10.7109375" customWidth="1"/>
    <col min="12079" max="12079" width="10.28515625" customWidth="1"/>
    <col min="12080" max="12080" width="10.5703125" customWidth="1"/>
    <col min="12081" max="12081" width="10.42578125" customWidth="1"/>
    <col min="12082" max="12082" width="10.5703125" customWidth="1"/>
    <col min="12083" max="12083" width="10.42578125" customWidth="1"/>
    <col min="12084" max="12084" width="10.5703125" customWidth="1"/>
    <col min="12085" max="12085" width="10.42578125" customWidth="1"/>
    <col min="12086" max="12086" width="10.5703125" customWidth="1"/>
    <col min="12087" max="12087" width="10.28515625" customWidth="1"/>
    <col min="12289" max="12289" width="10.140625" customWidth="1"/>
    <col min="12290" max="12290" width="12.7109375" customWidth="1"/>
    <col min="12291" max="12291" width="3.42578125" customWidth="1"/>
    <col min="12292" max="12292" width="3.28515625" customWidth="1"/>
    <col min="12293" max="12293" width="3.42578125" customWidth="1"/>
    <col min="12294" max="12294" width="5" customWidth="1"/>
    <col min="12295" max="12295" width="2.85546875" customWidth="1"/>
    <col min="12296" max="12296" width="3.5703125" customWidth="1"/>
    <col min="12297" max="12297" width="3.7109375" customWidth="1"/>
    <col min="12298" max="12298" width="3.28515625" customWidth="1"/>
    <col min="12299" max="12299" width="6.42578125" customWidth="1"/>
    <col min="12300" max="12300" width="8.28515625" customWidth="1"/>
    <col min="12301" max="12301" width="0.28515625" customWidth="1"/>
    <col min="12302" max="12302" width="19.28515625" customWidth="1"/>
    <col min="12303" max="12303" width="17.140625" customWidth="1"/>
    <col min="12304" max="12304" width="7.42578125" customWidth="1"/>
    <col min="12305" max="12305" width="9.28515625" customWidth="1"/>
    <col min="12306" max="12306" width="49.42578125" customWidth="1"/>
    <col min="12307" max="12310" width="9.42578125" customWidth="1"/>
    <col min="12311" max="12311" width="22.28515625" customWidth="1"/>
    <col min="12312" max="12312" width="18" customWidth="1"/>
    <col min="12313" max="12313" width="12.140625" customWidth="1"/>
    <col min="12314" max="12314" width="5.42578125" customWidth="1"/>
    <col min="12315" max="12315" width="14.5703125" customWidth="1"/>
    <col min="12316" max="12316" width="18.7109375" customWidth="1"/>
    <col min="12317" max="12317" width="8.85546875" customWidth="1"/>
    <col min="12318" max="12318" width="9.28515625" customWidth="1"/>
    <col min="12319" max="12319" width="8.85546875" customWidth="1"/>
    <col min="12320" max="12320" width="13.7109375" customWidth="1"/>
    <col min="12321" max="12321" width="5.5703125" customWidth="1"/>
    <col min="12322" max="12322" width="5.7109375" customWidth="1"/>
    <col min="12323" max="12323" width="4.85546875" customWidth="1"/>
    <col min="12324" max="12325" width="5" customWidth="1"/>
    <col min="12326" max="12326" width="4.85546875" customWidth="1"/>
    <col min="12327" max="12327" width="5" customWidth="1"/>
    <col min="12328" max="12328" width="5.28515625" customWidth="1"/>
    <col min="12329" max="12329" width="9.7109375" customWidth="1"/>
    <col min="12330" max="12330" width="10" customWidth="1"/>
    <col min="12333" max="12333" width="10.28515625" customWidth="1"/>
    <col min="12334" max="12334" width="10.7109375" customWidth="1"/>
    <col min="12335" max="12335" width="10.28515625" customWidth="1"/>
    <col min="12336" max="12336" width="10.5703125" customWidth="1"/>
    <col min="12337" max="12337" width="10.42578125" customWidth="1"/>
    <col min="12338" max="12338" width="10.5703125" customWidth="1"/>
    <col min="12339" max="12339" width="10.42578125" customWidth="1"/>
    <col min="12340" max="12340" width="10.5703125" customWidth="1"/>
    <col min="12341" max="12341" width="10.42578125" customWidth="1"/>
    <col min="12342" max="12342" width="10.5703125" customWidth="1"/>
    <col min="12343" max="12343" width="10.28515625" customWidth="1"/>
    <col min="12545" max="12545" width="10.140625" customWidth="1"/>
    <col min="12546" max="12546" width="12.7109375" customWidth="1"/>
    <col min="12547" max="12547" width="3.42578125" customWidth="1"/>
    <col min="12548" max="12548" width="3.28515625" customWidth="1"/>
    <col min="12549" max="12549" width="3.42578125" customWidth="1"/>
    <col min="12550" max="12550" width="5" customWidth="1"/>
    <col min="12551" max="12551" width="2.85546875" customWidth="1"/>
    <col min="12552" max="12552" width="3.5703125" customWidth="1"/>
    <col min="12553" max="12553" width="3.7109375" customWidth="1"/>
    <col min="12554" max="12554" width="3.28515625" customWidth="1"/>
    <col min="12555" max="12555" width="6.42578125" customWidth="1"/>
    <col min="12556" max="12556" width="8.28515625" customWidth="1"/>
    <col min="12557" max="12557" width="0.28515625" customWidth="1"/>
    <col min="12558" max="12558" width="19.28515625" customWidth="1"/>
    <col min="12559" max="12559" width="17.140625" customWidth="1"/>
    <col min="12560" max="12560" width="7.42578125" customWidth="1"/>
    <col min="12561" max="12561" width="9.28515625" customWidth="1"/>
    <col min="12562" max="12562" width="49.42578125" customWidth="1"/>
    <col min="12563" max="12566" width="9.42578125" customWidth="1"/>
    <col min="12567" max="12567" width="22.28515625" customWidth="1"/>
    <col min="12568" max="12568" width="18" customWidth="1"/>
    <col min="12569" max="12569" width="12.140625" customWidth="1"/>
    <col min="12570" max="12570" width="5.42578125" customWidth="1"/>
    <col min="12571" max="12571" width="14.5703125" customWidth="1"/>
    <col min="12572" max="12572" width="18.7109375" customWidth="1"/>
    <col min="12573" max="12573" width="8.85546875" customWidth="1"/>
    <col min="12574" max="12574" width="9.28515625" customWidth="1"/>
    <col min="12575" max="12575" width="8.85546875" customWidth="1"/>
    <col min="12576" max="12576" width="13.7109375" customWidth="1"/>
    <col min="12577" max="12577" width="5.5703125" customWidth="1"/>
    <col min="12578" max="12578" width="5.7109375" customWidth="1"/>
    <col min="12579" max="12579" width="4.85546875" customWidth="1"/>
    <col min="12580" max="12581" width="5" customWidth="1"/>
    <col min="12582" max="12582" width="4.85546875" customWidth="1"/>
    <col min="12583" max="12583" width="5" customWidth="1"/>
    <col min="12584" max="12584" width="5.28515625" customWidth="1"/>
    <col min="12585" max="12585" width="9.7109375" customWidth="1"/>
    <col min="12586" max="12586" width="10" customWidth="1"/>
    <col min="12589" max="12589" width="10.28515625" customWidth="1"/>
    <col min="12590" max="12590" width="10.7109375" customWidth="1"/>
    <col min="12591" max="12591" width="10.28515625" customWidth="1"/>
    <col min="12592" max="12592" width="10.5703125" customWidth="1"/>
    <col min="12593" max="12593" width="10.42578125" customWidth="1"/>
    <col min="12594" max="12594" width="10.5703125" customWidth="1"/>
    <col min="12595" max="12595" width="10.42578125" customWidth="1"/>
    <col min="12596" max="12596" width="10.5703125" customWidth="1"/>
    <col min="12597" max="12597" width="10.42578125" customWidth="1"/>
    <col min="12598" max="12598" width="10.5703125" customWidth="1"/>
    <col min="12599" max="12599" width="10.28515625" customWidth="1"/>
    <col min="12801" max="12801" width="10.140625" customWidth="1"/>
    <col min="12802" max="12802" width="12.7109375" customWidth="1"/>
    <col min="12803" max="12803" width="3.42578125" customWidth="1"/>
    <col min="12804" max="12804" width="3.28515625" customWidth="1"/>
    <col min="12805" max="12805" width="3.42578125" customWidth="1"/>
    <col min="12806" max="12806" width="5" customWidth="1"/>
    <col min="12807" max="12807" width="2.85546875" customWidth="1"/>
    <col min="12808" max="12808" width="3.5703125" customWidth="1"/>
    <col min="12809" max="12809" width="3.7109375" customWidth="1"/>
    <col min="12810" max="12810" width="3.28515625" customWidth="1"/>
    <col min="12811" max="12811" width="6.42578125" customWidth="1"/>
    <col min="12812" max="12812" width="8.28515625" customWidth="1"/>
    <col min="12813" max="12813" width="0.28515625" customWidth="1"/>
    <col min="12814" max="12814" width="19.28515625" customWidth="1"/>
    <col min="12815" max="12815" width="17.140625" customWidth="1"/>
    <col min="12816" max="12816" width="7.42578125" customWidth="1"/>
    <col min="12817" max="12817" width="9.28515625" customWidth="1"/>
    <col min="12818" max="12818" width="49.42578125" customWidth="1"/>
    <col min="12819" max="12822" width="9.42578125" customWidth="1"/>
    <col min="12823" max="12823" width="22.28515625" customWidth="1"/>
    <col min="12824" max="12824" width="18" customWidth="1"/>
    <col min="12825" max="12825" width="12.140625" customWidth="1"/>
    <col min="12826" max="12826" width="5.42578125" customWidth="1"/>
    <col min="12827" max="12827" width="14.5703125" customWidth="1"/>
    <col min="12828" max="12828" width="18.7109375" customWidth="1"/>
    <col min="12829" max="12829" width="8.85546875" customWidth="1"/>
    <col min="12830" max="12830" width="9.28515625" customWidth="1"/>
    <col min="12831" max="12831" width="8.85546875" customWidth="1"/>
    <col min="12832" max="12832" width="13.7109375" customWidth="1"/>
    <col min="12833" max="12833" width="5.5703125" customWidth="1"/>
    <col min="12834" max="12834" width="5.7109375" customWidth="1"/>
    <col min="12835" max="12835" width="4.85546875" customWidth="1"/>
    <col min="12836" max="12837" width="5" customWidth="1"/>
    <col min="12838" max="12838" width="4.85546875" customWidth="1"/>
    <col min="12839" max="12839" width="5" customWidth="1"/>
    <col min="12840" max="12840" width="5.28515625" customWidth="1"/>
    <col min="12841" max="12841" width="9.7109375" customWidth="1"/>
    <col min="12842" max="12842" width="10" customWidth="1"/>
    <col min="12845" max="12845" width="10.28515625" customWidth="1"/>
    <col min="12846" max="12846" width="10.7109375" customWidth="1"/>
    <col min="12847" max="12847" width="10.28515625" customWidth="1"/>
    <col min="12848" max="12848" width="10.5703125" customWidth="1"/>
    <col min="12849" max="12849" width="10.42578125" customWidth="1"/>
    <col min="12850" max="12850" width="10.5703125" customWidth="1"/>
    <col min="12851" max="12851" width="10.42578125" customWidth="1"/>
    <col min="12852" max="12852" width="10.5703125" customWidth="1"/>
    <col min="12853" max="12853" width="10.42578125" customWidth="1"/>
    <col min="12854" max="12854" width="10.5703125" customWidth="1"/>
    <col min="12855" max="12855" width="10.28515625" customWidth="1"/>
    <col min="13057" max="13057" width="10.140625" customWidth="1"/>
    <col min="13058" max="13058" width="12.7109375" customWidth="1"/>
    <col min="13059" max="13059" width="3.42578125" customWidth="1"/>
    <col min="13060" max="13060" width="3.28515625" customWidth="1"/>
    <col min="13061" max="13061" width="3.42578125" customWidth="1"/>
    <col min="13062" max="13062" width="5" customWidth="1"/>
    <col min="13063" max="13063" width="2.85546875" customWidth="1"/>
    <col min="13064" max="13064" width="3.5703125" customWidth="1"/>
    <col min="13065" max="13065" width="3.7109375" customWidth="1"/>
    <col min="13066" max="13066" width="3.28515625" customWidth="1"/>
    <col min="13067" max="13067" width="6.42578125" customWidth="1"/>
    <col min="13068" max="13068" width="8.28515625" customWidth="1"/>
    <col min="13069" max="13069" width="0.28515625" customWidth="1"/>
    <col min="13070" max="13070" width="19.28515625" customWidth="1"/>
    <col min="13071" max="13071" width="17.140625" customWidth="1"/>
    <col min="13072" max="13072" width="7.42578125" customWidth="1"/>
    <col min="13073" max="13073" width="9.28515625" customWidth="1"/>
    <col min="13074" max="13074" width="49.42578125" customWidth="1"/>
    <col min="13075" max="13078" width="9.42578125" customWidth="1"/>
    <col min="13079" max="13079" width="22.28515625" customWidth="1"/>
    <col min="13080" max="13080" width="18" customWidth="1"/>
    <col min="13081" max="13081" width="12.140625" customWidth="1"/>
    <col min="13082" max="13082" width="5.42578125" customWidth="1"/>
    <col min="13083" max="13083" width="14.5703125" customWidth="1"/>
    <col min="13084" max="13084" width="18.7109375" customWidth="1"/>
    <col min="13085" max="13085" width="8.85546875" customWidth="1"/>
    <col min="13086" max="13086" width="9.28515625" customWidth="1"/>
    <col min="13087" max="13087" width="8.85546875" customWidth="1"/>
    <col min="13088" max="13088" width="13.7109375" customWidth="1"/>
    <col min="13089" max="13089" width="5.5703125" customWidth="1"/>
    <col min="13090" max="13090" width="5.7109375" customWidth="1"/>
    <col min="13091" max="13091" width="4.85546875" customWidth="1"/>
    <col min="13092" max="13093" width="5" customWidth="1"/>
    <col min="13094" max="13094" width="4.85546875" customWidth="1"/>
    <col min="13095" max="13095" width="5" customWidth="1"/>
    <col min="13096" max="13096" width="5.28515625" customWidth="1"/>
    <col min="13097" max="13097" width="9.7109375" customWidth="1"/>
    <col min="13098" max="13098" width="10" customWidth="1"/>
    <col min="13101" max="13101" width="10.28515625" customWidth="1"/>
    <col min="13102" max="13102" width="10.7109375" customWidth="1"/>
    <col min="13103" max="13103" width="10.28515625" customWidth="1"/>
    <col min="13104" max="13104" width="10.5703125" customWidth="1"/>
    <col min="13105" max="13105" width="10.42578125" customWidth="1"/>
    <col min="13106" max="13106" width="10.5703125" customWidth="1"/>
    <col min="13107" max="13107" width="10.42578125" customWidth="1"/>
    <col min="13108" max="13108" width="10.5703125" customWidth="1"/>
    <col min="13109" max="13109" width="10.42578125" customWidth="1"/>
    <col min="13110" max="13110" width="10.5703125" customWidth="1"/>
    <col min="13111" max="13111" width="10.28515625" customWidth="1"/>
    <col min="13313" max="13313" width="10.140625" customWidth="1"/>
    <col min="13314" max="13314" width="12.7109375" customWidth="1"/>
    <col min="13315" max="13315" width="3.42578125" customWidth="1"/>
    <col min="13316" max="13316" width="3.28515625" customWidth="1"/>
    <col min="13317" max="13317" width="3.42578125" customWidth="1"/>
    <col min="13318" max="13318" width="5" customWidth="1"/>
    <col min="13319" max="13319" width="2.85546875" customWidth="1"/>
    <col min="13320" max="13320" width="3.5703125" customWidth="1"/>
    <col min="13321" max="13321" width="3.7109375" customWidth="1"/>
    <col min="13322" max="13322" width="3.28515625" customWidth="1"/>
    <col min="13323" max="13323" width="6.42578125" customWidth="1"/>
    <col min="13324" max="13324" width="8.28515625" customWidth="1"/>
    <col min="13325" max="13325" width="0.28515625" customWidth="1"/>
    <col min="13326" max="13326" width="19.28515625" customWidth="1"/>
    <col min="13327" max="13327" width="17.140625" customWidth="1"/>
    <col min="13328" max="13328" width="7.42578125" customWidth="1"/>
    <col min="13329" max="13329" width="9.28515625" customWidth="1"/>
    <col min="13330" max="13330" width="49.42578125" customWidth="1"/>
    <col min="13331" max="13334" width="9.42578125" customWidth="1"/>
    <col min="13335" max="13335" width="22.28515625" customWidth="1"/>
    <col min="13336" max="13336" width="18" customWidth="1"/>
    <col min="13337" max="13337" width="12.140625" customWidth="1"/>
    <col min="13338" max="13338" width="5.42578125" customWidth="1"/>
    <col min="13339" max="13339" width="14.5703125" customWidth="1"/>
    <col min="13340" max="13340" width="18.7109375" customWidth="1"/>
    <col min="13341" max="13341" width="8.85546875" customWidth="1"/>
    <col min="13342" max="13342" width="9.28515625" customWidth="1"/>
    <col min="13343" max="13343" width="8.85546875" customWidth="1"/>
    <col min="13344" max="13344" width="13.7109375" customWidth="1"/>
    <col min="13345" max="13345" width="5.5703125" customWidth="1"/>
    <col min="13346" max="13346" width="5.7109375" customWidth="1"/>
    <col min="13347" max="13347" width="4.85546875" customWidth="1"/>
    <col min="13348" max="13349" width="5" customWidth="1"/>
    <col min="13350" max="13350" width="4.85546875" customWidth="1"/>
    <col min="13351" max="13351" width="5" customWidth="1"/>
    <col min="13352" max="13352" width="5.28515625" customWidth="1"/>
    <col min="13353" max="13353" width="9.7109375" customWidth="1"/>
    <col min="13354" max="13354" width="10" customWidth="1"/>
    <col min="13357" max="13357" width="10.28515625" customWidth="1"/>
    <col min="13358" max="13358" width="10.7109375" customWidth="1"/>
    <col min="13359" max="13359" width="10.28515625" customWidth="1"/>
    <col min="13360" max="13360" width="10.5703125" customWidth="1"/>
    <col min="13361" max="13361" width="10.42578125" customWidth="1"/>
    <col min="13362" max="13362" width="10.5703125" customWidth="1"/>
    <col min="13363" max="13363" width="10.42578125" customWidth="1"/>
    <col min="13364" max="13364" width="10.5703125" customWidth="1"/>
    <col min="13365" max="13365" width="10.42578125" customWidth="1"/>
    <col min="13366" max="13366" width="10.5703125" customWidth="1"/>
    <col min="13367" max="13367" width="10.28515625" customWidth="1"/>
    <col min="13569" max="13569" width="10.140625" customWidth="1"/>
    <col min="13570" max="13570" width="12.7109375" customWidth="1"/>
    <col min="13571" max="13571" width="3.42578125" customWidth="1"/>
    <col min="13572" max="13572" width="3.28515625" customWidth="1"/>
    <col min="13573" max="13573" width="3.42578125" customWidth="1"/>
    <col min="13574" max="13574" width="5" customWidth="1"/>
    <col min="13575" max="13575" width="2.85546875" customWidth="1"/>
    <col min="13576" max="13576" width="3.5703125" customWidth="1"/>
    <col min="13577" max="13577" width="3.7109375" customWidth="1"/>
    <col min="13578" max="13578" width="3.28515625" customWidth="1"/>
    <col min="13579" max="13579" width="6.42578125" customWidth="1"/>
    <col min="13580" max="13580" width="8.28515625" customWidth="1"/>
    <col min="13581" max="13581" width="0.28515625" customWidth="1"/>
    <col min="13582" max="13582" width="19.28515625" customWidth="1"/>
    <col min="13583" max="13583" width="17.140625" customWidth="1"/>
    <col min="13584" max="13584" width="7.42578125" customWidth="1"/>
    <col min="13585" max="13585" width="9.28515625" customWidth="1"/>
    <col min="13586" max="13586" width="49.42578125" customWidth="1"/>
    <col min="13587" max="13590" width="9.42578125" customWidth="1"/>
    <col min="13591" max="13591" width="22.28515625" customWidth="1"/>
    <col min="13592" max="13592" width="18" customWidth="1"/>
    <col min="13593" max="13593" width="12.140625" customWidth="1"/>
    <col min="13594" max="13594" width="5.42578125" customWidth="1"/>
    <col min="13595" max="13595" width="14.5703125" customWidth="1"/>
    <col min="13596" max="13596" width="18.7109375" customWidth="1"/>
    <col min="13597" max="13597" width="8.85546875" customWidth="1"/>
    <col min="13598" max="13598" width="9.28515625" customWidth="1"/>
    <col min="13599" max="13599" width="8.85546875" customWidth="1"/>
    <col min="13600" max="13600" width="13.7109375" customWidth="1"/>
    <col min="13601" max="13601" width="5.5703125" customWidth="1"/>
    <col min="13602" max="13602" width="5.7109375" customWidth="1"/>
    <col min="13603" max="13603" width="4.85546875" customWidth="1"/>
    <col min="13604" max="13605" width="5" customWidth="1"/>
    <col min="13606" max="13606" width="4.85546875" customWidth="1"/>
    <col min="13607" max="13607" width="5" customWidth="1"/>
    <col min="13608" max="13608" width="5.28515625" customWidth="1"/>
    <col min="13609" max="13609" width="9.7109375" customWidth="1"/>
    <col min="13610" max="13610" width="10" customWidth="1"/>
    <col min="13613" max="13613" width="10.28515625" customWidth="1"/>
    <col min="13614" max="13614" width="10.7109375" customWidth="1"/>
    <col min="13615" max="13615" width="10.28515625" customWidth="1"/>
    <col min="13616" max="13616" width="10.5703125" customWidth="1"/>
    <col min="13617" max="13617" width="10.42578125" customWidth="1"/>
    <col min="13618" max="13618" width="10.5703125" customWidth="1"/>
    <col min="13619" max="13619" width="10.42578125" customWidth="1"/>
    <col min="13620" max="13620" width="10.5703125" customWidth="1"/>
    <col min="13621" max="13621" width="10.42578125" customWidth="1"/>
    <col min="13622" max="13622" width="10.5703125" customWidth="1"/>
    <col min="13623" max="13623" width="10.28515625" customWidth="1"/>
    <col min="13825" max="13825" width="10.140625" customWidth="1"/>
    <col min="13826" max="13826" width="12.7109375" customWidth="1"/>
    <col min="13827" max="13827" width="3.42578125" customWidth="1"/>
    <col min="13828" max="13828" width="3.28515625" customWidth="1"/>
    <col min="13829" max="13829" width="3.42578125" customWidth="1"/>
    <col min="13830" max="13830" width="5" customWidth="1"/>
    <col min="13831" max="13831" width="2.85546875" customWidth="1"/>
    <col min="13832" max="13832" width="3.5703125" customWidth="1"/>
    <col min="13833" max="13833" width="3.7109375" customWidth="1"/>
    <col min="13834" max="13834" width="3.28515625" customWidth="1"/>
    <col min="13835" max="13835" width="6.42578125" customWidth="1"/>
    <col min="13836" max="13836" width="8.28515625" customWidth="1"/>
    <col min="13837" max="13837" width="0.28515625" customWidth="1"/>
    <col min="13838" max="13838" width="19.28515625" customWidth="1"/>
    <col min="13839" max="13839" width="17.140625" customWidth="1"/>
    <col min="13840" max="13840" width="7.42578125" customWidth="1"/>
    <col min="13841" max="13841" width="9.28515625" customWidth="1"/>
    <col min="13842" max="13842" width="49.42578125" customWidth="1"/>
    <col min="13843" max="13846" width="9.42578125" customWidth="1"/>
    <col min="13847" max="13847" width="22.28515625" customWidth="1"/>
    <col min="13848" max="13848" width="18" customWidth="1"/>
    <col min="13849" max="13849" width="12.140625" customWidth="1"/>
    <col min="13850" max="13850" width="5.42578125" customWidth="1"/>
    <col min="13851" max="13851" width="14.5703125" customWidth="1"/>
    <col min="13852" max="13852" width="18.7109375" customWidth="1"/>
    <col min="13853" max="13853" width="8.85546875" customWidth="1"/>
    <col min="13854" max="13854" width="9.28515625" customWidth="1"/>
    <col min="13855" max="13855" width="8.85546875" customWidth="1"/>
    <col min="13856" max="13856" width="13.7109375" customWidth="1"/>
    <col min="13857" max="13857" width="5.5703125" customWidth="1"/>
    <col min="13858" max="13858" width="5.7109375" customWidth="1"/>
    <col min="13859" max="13859" width="4.85546875" customWidth="1"/>
    <col min="13860" max="13861" width="5" customWidth="1"/>
    <col min="13862" max="13862" width="4.85546875" customWidth="1"/>
    <col min="13863" max="13863" width="5" customWidth="1"/>
    <col min="13864" max="13864" width="5.28515625" customWidth="1"/>
    <col min="13865" max="13865" width="9.7109375" customWidth="1"/>
    <col min="13866" max="13866" width="10" customWidth="1"/>
    <col min="13869" max="13869" width="10.28515625" customWidth="1"/>
    <col min="13870" max="13870" width="10.7109375" customWidth="1"/>
    <col min="13871" max="13871" width="10.28515625" customWidth="1"/>
    <col min="13872" max="13872" width="10.5703125" customWidth="1"/>
    <col min="13873" max="13873" width="10.42578125" customWidth="1"/>
    <col min="13874" max="13874" width="10.5703125" customWidth="1"/>
    <col min="13875" max="13875" width="10.42578125" customWidth="1"/>
    <col min="13876" max="13876" width="10.5703125" customWidth="1"/>
    <col min="13877" max="13877" width="10.42578125" customWidth="1"/>
    <col min="13878" max="13878" width="10.5703125" customWidth="1"/>
    <col min="13879" max="13879" width="10.28515625" customWidth="1"/>
    <col min="14081" max="14081" width="10.140625" customWidth="1"/>
    <col min="14082" max="14082" width="12.7109375" customWidth="1"/>
    <col min="14083" max="14083" width="3.42578125" customWidth="1"/>
    <col min="14084" max="14084" width="3.28515625" customWidth="1"/>
    <col min="14085" max="14085" width="3.42578125" customWidth="1"/>
    <col min="14086" max="14086" width="5" customWidth="1"/>
    <col min="14087" max="14087" width="2.85546875" customWidth="1"/>
    <col min="14088" max="14088" width="3.5703125" customWidth="1"/>
    <col min="14089" max="14089" width="3.7109375" customWidth="1"/>
    <col min="14090" max="14090" width="3.28515625" customWidth="1"/>
    <col min="14091" max="14091" width="6.42578125" customWidth="1"/>
    <col min="14092" max="14092" width="8.28515625" customWidth="1"/>
    <col min="14093" max="14093" width="0.28515625" customWidth="1"/>
    <col min="14094" max="14094" width="19.28515625" customWidth="1"/>
    <col min="14095" max="14095" width="17.140625" customWidth="1"/>
    <col min="14096" max="14096" width="7.42578125" customWidth="1"/>
    <col min="14097" max="14097" width="9.28515625" customWidth="1"/>
    <col min="14098" max="14098" width="49.42578125" customWidth="1"/>
    <col min="14099" max="14102" width="9.42578125" customWidth="1"/>
    <col min="14103" max="14103" width="22.28515625" customWidth="1"/>
    <col min="14104" max="14104" width="18" customWidth="1"/>
    <col min="14105" max="14105" width="12.140625" customWidth="1"/>
    <col min="14106" max="14106" width="5.42578125" customWidth="1"/>
    <col min="14107" max="14107" width="14.5703125" customWidth="1"/>
    <col min="14108" max="14108" width="18.7109375" customWidth="1"/>
    <col min="14109" max="14109" width="8.85546875" customWidth="1"/>
    <col min="14110" max="14110" width="9.28515625" customWidth="1"/>
    <col min="14111" max="14111" width="8.85546875" customWidth="1"/>
    <col min="14112" max="14112" width="13.7109375" customWidth="1"/>
    <col min="14113" max="14113" width="5.5703125" customWidth="1"/>
    <col min="14114" max="14114" width="5.7109375" customWidth="1"/>
    <col min="14115" max="14115" width="4.85546875" customWidth="1"/>
    <col min="14116" max="14117" width="5" customWidth="1"/>
    <col min="14118" max="14118" width="4.85546875" customWidth="1"/>
    <col min="14119" max="14119" width="5" customWidth="1"/>
    <col min="14120" max="14120" width="5.28515625" customWidth="1"/>
    <col min="14121" max="14121" width="9.7109375" customWidth="1"/>
    <col min="14122" max="14122" width="10" customWidth="1"/>
    <col min="14125" max="14125" width="10.28515625" customWidth="1"/>
    <col min="14126" max="14126" width="10.7109375" customWidth="1"/>
    <col min="14127" max="14127" width="10.28515625" customWidth="1"/>
    <col min="14128" max="14128" width="10.5703125" customWidth="1"/>
    <col min="14129" max="14129" width="10.42578125" customWidth="1"/>
    <col min="14130" max="14130" width="10.5703125" customWidth="1"/>
    <col min="14131" max="14131" width="10.42578125" customWidth="1"/>
    <col min="14132" max="14132" width="10.5703125" customWidth="1"/>
    <col min="14133" max="14133" width="10.42578125" customWidth="1"/>
    <col min="14134" max="14134" width="10.5703125" customWidth="1"/>
    <col min="14135" max="14135" width="10.28515625" customWidth="1"/>
    <col min="14337" max="14337" width="10.140625" customWidth="1"/>
    <col min="14338" max="14338" width="12.7109375" customWidth="1"/>
    <col min="14339" max="14339" width="3.42578125" customWidth="1"/>
    <col min="14340" max="14340" width="3.28515625" customWidth="1"/>
    <col min="14341" max="14341" width="3.42578125" customWidth="1"/>
    <col min="14342" max="14342" width="5" customWidth="1"/>
    <col min="14343" max="14343" width="2.85546875" customWidth="1"/>
    <col min="14344" max="14344" width="3.5703125" customWidth="1"/>
    <col min="14345" max="14345" width="3.7109375" customWidth="1"/>
    <col min="14346" max="14346" width="3.28515625" customWidth="1"/>
    <col min="14347" max="14347" width="6.42578125" customWidth="1"/>
    <col min="14348" max="14348" width="8.28515625" customWidth="1"/>
    <col min="14349" max="14349" width="0.28515625" customWidth="1"/>
    <col min="14350" max="14350" width="19.28515625" customWidth="1"/>
    <col min="14351" max="14351" width="17.140625" customWidth="1"/>
    <col min="14352" max="14352" width="7.42578125" customWidth="1"/>
    <col min="14353" max="14353" width="9.28515625" customWidth="1"/>
    <col min="14354" max="14354" width="49.42578125" customWidth="1"/>
    <col min="14355" max="14358" width="9.42578125" customWidth="1"/>
    <col min="14359" max="14359" width="22.28515625" customWidth="1"/>
    <col min="14360" max="14360" width="18" customWidth="1"/>
    <col min="14361" max="14361" width="12.140625" customWidth="1"/>
    <col min="14362" max="14362" width="5.42578125" customWidth="1"/>
    <col min="14363" max="14363" width="14.5703125" customWidth="1"/>
    <col min="14364" max="14364" width="18.7109375" customWidth="1"/>
    <col min="14365" max="14365" width="8.85546875" customWidth="1"/>
    <col min="14366" max="14366" width="9.28515625" customWidth="1"/>
    <col min="14367" max="14367" width="8.85546875" customWidth="1"/>
    <col min="14368" max="14368" width="13.7109375" customWidth="1"/>
    <col min="14369" max="14369" width="5.5703125" customWidth="1"/>
    <col min="14370" max="14370" width="5.7109375" customWidth="1"/>
    <col min="14371" max="14371" width="4.85546875" customWidth="1"/>
    <col min="14372" max="14373" width="5" customWidth="1"/>
    <col min="14374" max="14374" width="4.85546875" customWidth="1"/>
    <col min="14375" max="14375" width="5" customWidth="1"/>
    <col min="14376" max="14376" width="5.28515625" customWidth="1"/>
    <col min="14377" max="14377" width="9.7109375" customWidth="1"/>
    <col min="14378" max="14378" width="10" customWidth="1"/>
    <col min="14381" max="14381" width="10.28515625" customWidth="1"/>
    <col min="14382" max="14382" width="10.7109375" customWidth="1"/>
    <col min="14383" max="14383" width="10.28515625" customWidth="1"/>
    <col min="14384" max="14384" width="10.5703125" customWidth="1"/>
    <col min="14385" max="14385" width="10.42578125" customWidth="1"/>
    <col min="14386" max="14386" width="10.5703125" customWidth="1"/>
    <col min="14387" max="14387" width="10.42578125" customWidth="1"/>
    <col min="14388" max="14388" width="10.5703125" customWidth="1"/>
    <col min="14389" max="14389" width="10.42578125" customWidth="1"/>
    <col min="14390" max="14390" width="10.5703125" customWidth="1"/>
    <col min="14391" max="14391" width="10.28515625" customWidth="1"/>
    <col min="14593" max="14593" width="10.140625" customWidth="1"/>
    <col min="14594" max="14594" width="12.7109375" customWidth="1"/>
    <col min="14595" max="14595" width="3.42578125" customWidth="1"/>
    <col min="14596" max="14596" width="3.28515625" customWidth="1"/>
    <col min="14597" max="14597" width="3.42578125" customWidth="1"/>
    <col min="14598" max="14598" width="5" customWidth="1"/>
    <col min="14599" max="14599" width="2.85546875" customWidth="1"/>
    <col min="14600" max="14600" width="3.5703125" customWidth="1"/>
    <col min="14601" max="14601" width="3.7109375" customWidth="1"/>
    <col min="14602" max="14602" width="3.28515625" customWidth="1"/>
    <col min="14603" max="14603" width="6.42578125" customWidth="1"/>
    <col min="14604" max="14604" width="8.28515625" customWidth="1"/>
    <col min="14605" max="14605" width="0.28515625" customWidth="1"/>
    <col min="14606" max="14606" width="19.28515625" customWidth="1"/>
    <col min="14607" max="14607" width="17.140625" customWidth="1"/>
    <col min="14608" max="14608" width="7.42578125" customWidth="1"/>
    <col min="14609" max="14609" width="9.28515625" customWidth="1"/>
    <col min="14610" max="14610" width="49.42578125" customWidth="1"/>
    <col min="14611" max="14614" width="9.42578125" customWidth="1"/>
    <col min="14615" max="14615" width="22.28515625" customWidth="1"/>
    <col min="14616" max="14616" width="18" customWidth="1"/>
    <col min="14617" max="14617" width="12.140625" customWidth="1"/>
    <col min="14618" max="14618" width="5.42578125" customWidth="1"/>
    <col min="14619" max="14619" width="14.5703125" customWidth="1"/>
    <col min="14620" max="14620" width="18.7109375" customWidth="1"/>
    <col min="14621" max="14621" width="8.85546875" customWidth="1"/>
    <col min="14622" max="14622" width="9.28515625" customWidth="1"/>
    <col min="14623" max="14623" width="8.85546875" customWidth="1"/>
    <col min="14624" max="14624" width="13.7109375" customWidth="1"/>
    <col min="14625" max="14625" width="5.5703125" customWidth="1"/>
    <col min="14626" max="14626" width="5.7109375" customWidth="1"/>
    <col min="14627" max="14627" width="4.85546875" customWidth="1"/>
    <col min="14628" max="14629" width="5" customWidth="1"/>
    <col min="14630" max="14630" width="4.85546875" customWidth="1"/>
    <col min="14631" max="14631" width="5" customWidth="1"/>
    <col min="14632" max="14632" width="5.28515625" customWidth="1"/>
    <col min="14633" max="14633" width="9.7109375" customWidth="1"/>
    <col min="14634" max="14634" width="10" customWidth="1"/>
    <col min="14637" max="14637" width="10.28515625" customWidth="1"/>
    <col min="14638" max="14638" width="10.7109375" customWidth="1"/>
    <col min="14639" max="14639" width="10.28515625" customWidth="1"/>
    <col min="14640" max="14640" width="10.5703125" customWidth="1"/>
    <col min="14641" max="14641" width="10.42578125" customWidth="1"/>
    <col min="14642" max="14642" width="10.5703125" customWidth="1"/>
    <col min="14643" max="14643" width="10.42578125" customWidth="1"/>
    <col min="14644" max="14644" width="10.5703125" customWidth="1"/>
    <col min="14645" max="14645" width="10.42578125" customWidth="1"/>
    <col min="14646" max="14646" width="10.5703125" customWidth="1"/>
    <col min="14647" max="14647" width="10.28515625" customWidth="1"/>
    <col min="14849" max="14849" width="10.140625" customWidth="1"/>
    <col min="14850" max="14850" width="12.7109375" customWidth="1"/>
    <col min="14851" max="14851" width="3.42578125" customWidth="1"/>
    <col min="14852" max="14852" width="3.28515625" customWidth="1"/>
    <col min="14853" max="14853" width="3.42578125" customWidth="1"/>
    <col min="14854" max="14854" width="5" customWidth="1"/>
    <col min="14855" max="14855" width="2.85546875" customWidth="1"/>
    <col min="14856" max="14856" width="3.5703125" customWidth="1"/>
    <col min="14857" max="14857" width="3.7109375" customWidth="1"/>
    <col min="14858" max="14858" width="3.28515625" customWidth="1"/>
    <col min="14859" max="14859" width="6.42578125" customWidth="1"/>
    <col min="14860" max="14860" width="8.28515625" customWidth="1"/>
    <col min="14861" max="14861" width="0.28515625" customWidth="1"/>
    <col min="14862" max="14862" width="19.28515625" customWidth="1"/>
    <col min="14863" max="14863" width="17.140625" customWidth="1"/>
    <col min="14864" max="14864" width="7.42578125" customWidth="1"/>
    <col min="14865" max="14865" width="9.28515625" customWidth="1"/>
    <col min="14866" max="14866" width="49.42578125" customWidth="1"/>
    <col min="14867" max="14870" width="9.42578125" customWidth="1"/>
    <col min="14871" max="14871" width="22.28515625" customWidth="1"/>
    <col min="14872" max="14872" width="18" customWidth="1"/>
    <col min="14873" max="14873" width="12.140625" customWidth="1"/>
    <col min="14874" max="14874" width="5.42578125" customWidth="1"/>
    <col min="14875" max="14875" width="14.5703125" customWidth="1"/>
    <col min="14876" max="14876" width="18.7109375" customWidth="1"/>
    <col min="14877" max="14877" width="8.85546875" customWidth="1"/>
    <col min="14878" max="14878" width="9.28515625" customWidth="1"/>
    <col min="14879" max="14879" width="8.85546875" customWidth="1"/>
    <col min="14880" max="14880" width="13.7109375" customWidth="1"/>
    <col min="14881" max="14881" width="5.5703125" customWidth="1"/>
    <col min="14882" max="14882" width="5.7109375" customWidth="1"/>
    <col min="14883" max="14883" width="4.85546875" customWidth="1"/>
    <col min="14884" max="14885" width="5" customWidth="1"/>
    <col min="14886" max="14886" width="4.85546875" customWidth="1"/>
    <col min="14887" max="14887" width="5" customWidth="1"/>
    <col min="14888" max="14888" width="5.28515625" customWidth="1"/>
    <col min="14889" max="14889" width="9.7109375" customWidth="1"/>
    <col min="14890" max="14890" width="10" customWidth="1"/>
    <col min="14893" max="14893" width="10.28515625" customWidth="1"/>
    <col min="14894" max="14894" width="10.7109375" customWidth="1"/>
    <col min="14895" max="14895" width="10.28515625" customWidth="1"/>
    <col min="14896" max="14896" width="10.5703125" customWidth="1"/>
    <col min="14897" max="14897" width="10.42578125" customWidth="1"/>
    <col min="14898" max="14898" width="10.5703125" customWidth="1"/>
    <col min="14899" max="14899" width="10.42578125" customWidth="1"/>
    <col min="14900" max="14900" width="10.5703125" customWidth="1"/>
    <col min="14901" max="14901" width="10.42578125" customWidth="1"/>
    <col min="14902" max="14902" width="10.5703125" customWidth="1"/>
    <col min="14903" max="14903" width="10.28515625" customWidth="1"/>
    <col min="15105" max="15105" width="10.140625" customWidth="1"/>
    <col min="15106" max="15106" width="12.7109375" customWidth="1"/>
    <col min="15107" max="15107" width="3.42578125" customWidth="1"/>
    <col min="15108" max="15108" width="3.28515625" customWidth="1"/>
    <col min="15109" max="15109" width="3.42578125" customWidth="1"/>
    <col min="15110" max="15110" width="5" customWidth="1"/>
    <col min="15111" max="15111" width="2.85546875" customWidth="1"/>
    <col min="15112" max="15112" width="3.5703125" customWidth="1"/>
    <col min="15113" max="15113" width="3.7109375" customWidth="1"/>
    <col min="15114" max="15114" width="3.28515625" customWidth="1"/>
    <col min="15115" max="15115" width="6.42578125" customWidth="1"/>
    <col min="15116" max="15116" width="8.28515625" customWidth="1"/>
    <col min="15117" max="15117" width="0.28515625" customWidth="1"/>
    <col min="15118" max="15118" width="19.28515625" customWidth="1"/>
    <col min="15119" max="15119" width="17.140625" customWidth="1"/>
    <col min="15120" max="15120" width="7.42578125" customWidth="1"/>
    <col min="15121" max="15121" width="9.28515625" customWidth="1"/>
    <col min="15122" max="15122" width="49.42578125" customWidth="1"/>
    <col min="15123" max="15126" width="9.42578125" customWidth="1"/>
    <col min="15127" max="15127" width="22.28515625" customWidth="1"/>
    <col min="15128" max="15128" width="18" customWidth="1"/>
    <col min="15129" max="15129" width="12.140625" customWidth="1"/>
    <col min="15130" max="15130" width="5.42578125" customWidth="1"/>
    <col min="15131" max="15131" width="14.5703125" customWidth="1"/>
    <col min="15132" max="15132" width="18.7109375" customWidth="1"/>
    <col min="15133" max="15133" width="8.85546875" customWidth="1"/>
    <col min="15134" max="15134" width="9.28515625" customWidth="1"/>
    <col min="15135" max="15135" width="8.85546875" customWidth="1"/>
    <col min="15136" max="15136" width="13.7109375" customWidth="1"/>
    <col min="15137" max="15137" width="5.5703125" customWidth="1"/>
    <col min="15138" max="15138" width="5.7109375" customWidth="1"/>
    <col min="15139" max="15139" width="4.85546875" customWidth="1"/>
    <col min="15140" max="15141" width="5" customWidth="1"/>
    <col min="15142" max="15142" width="4.85546875" customWidth="1"/>
    <col min="15143" max="15143" width="5" customWidth="1"/>
    <col min="15144" max="15144" width="5.28515625" customWidth="1"/>
    <col min="15145" max="15145" width="9.7109375" customWidth="1"/>
    <col min="15146" max="15146" width="10" customWidth="1"/>
    <col min="15149" max="15149" width="10.28515625" customWidth="1"/>
    <col min="15150" max="15150" width="10.7109375" customWidth="1"/>
    <col min="15151" max="15151" width="10.28515625" customWidth="1"/>
    <col min="15152" max="15152" width="10.5703125" customWidth="1"/>
    <col min="15153" max="15153" width="10.42578125" customWidth="1"/>
    <col min="15154" max="15154" width="10.5703125" customWidth="1"/>
    <col min="15155" max="15155" width="10.42578125" customWidth="1"/>
    <col min="15156" max="15156" width="10.5703125" customWidth="1"/>
    <col min="15157" max="15157" width="10.42578125" customWidth="1"/>
    <col min="15158" max="15158" width="10.5703125" customWidth="1"/>
    <col min="15159" max="15159" width="10.28515625" customWidth="1"/>
    <col min="15361" max="15361" width="10.140625" customWidth="1"/>
    <col min="15362" max="15362" width="12.7109375" customWidth="1"/>
    <col min="15363" max="15363" width="3.42578125" customWidth="1"/>
    <col min="15364" max="15364" width="3.28515625" customWidth="1"/>
    <col min="15365" max="15365" width="3.42578125" customWidth="1"/>
    <col min="15366" max="15366" width="5" customWidth="1"/>
    <col min="15367" max="15367" width="2.85546875" customWidth="1"/>
    <col min="15368" max="15368" width="3.5703125" customWidth="1"/>
    <col min="15369" max="15369" width="3.7109375" customWidth="1"/>
    <col min="15370" max="15370" width="3.28515625" customWidth="1"/>
    <col min="15371" max="15371" width="6.42578125" customWidth="1"/>
    <col min="15372" max="15372" width="8.28515625" customWidth="1"/>
    <col min="15373" max="15373" width="0.28515625" customWidth="1"/>
    <col min="15374" max="15374" width="19.28515625" customWidth="1"/>
    <col min="15375" max="15375" width="17.140625" customWidth="1"/>
    <col min="15376" max="15376" width="7.42578125" customWidth="1"/>
    <col min="15377" max="15377" width="9.28515625" customWidth="1"/>
    <col min="15378" max="15378" width="49.42578125" customWidth="1"/>
    <col min="15379" max="15382" width="9.42578125" customWidth="1"/>
    <col min="15383" max="15383" width="22.28515625" customWidth="1"/>
    <col min="15384" max="15384" width="18" customWidth="1"/>
    <col min="15385" max="15385" width="12.140625" customWidth="1"/>
    <col min="15386" max="15386" width="5.42578125" customWidth="1"/>
    <col min="15387" max="15387" width="14.5703125" customWidth="1"/>
    <col min="15388" max="15388" width="18.7109375" customWidth="1"/>
    <col min="15389" max="15389" width="8.85546875" customWidth="1"/>
    <col min="15390" max="15390" width="9.28515625" customWidth="1"/>
    <col min="15391" max="15391" width="8.85546875" customWidth="1"/>
    <col min="15392" max="15392" width="13.7109375" customWidth="1"/>
    <col min="15393" max="15393" width="5.5703125" customWidth="1"/>
    <col min="15394" max="15394" width="5.7109375" customWidth="1"/>
    <col min="15395" max="15395" width="4.85546875" customWidth="1"/>
    <col min="15396" max="15397" width="5" customWidth="1"/>
    <col min="15398" max="15398" width="4.85546875" customWidth="1"/>
    <col min="15399" max="15399" width="5" customWidth="1"/>
    <col min="15400" max="15400" width="5.28515625" customWidth="1"/>
    <col min="15401" max="15401" width="9.7109375" customWidth="1"/>
    <col min="15402" max="15402" width="10" customWidth="1"/>
    <col min="15405" max="15405" width="10.28515625" customWidth="1"/>
    <col min="15406" max="15406" width="10.7109375" customWidth="1"/>
    <col min="15407" max="15407" width="10.28515625" customWidth="1"/>
    <col min="15408" max="15408" width="10.5703125" customWidth="1"/>
    <col min="15409" max="15409" width="10.42578125" customWidth="1"/>
    <col min="15410" max="15410" width="10.5703125" customWidth="1"/>
    <col min="15411" max="15411" width="10.42578125" customWidth="1"/>
    <col min="15412" max="15412" width="10.5703125" customWidth="1"/>
    <col min="15413" max="15413" width="10.42578125" customWidth="1"/>
    <col min="15414" max="15414" width="10.5703125" customWidth="1"/>
    <col min="15415" max="15415" width="10.28515625" customWidth="1"/>
    <col min="15617" max="15617" width="10.140625" customWidth="1"/>
    <col min="15618" max="15618" width="12.7109375" customWidth="1"/>
    <col min="15619" max="15619" width="3.42578125" customWidth="1"/>
    <col min="15620" max="15620" width="3.28515625" customWidth="1"/>
    <col min="15621" max="15621" width="3.42578125" customWidth="1"/>
    <col min="15622" max="15622" width="5" customWidth="1"/>
    <col min="15623" max="15623" width="2.85546875" customWidth="1"/>
    <col min="15624" max="15624" width="3.5703125" customWidth="1"/>
    <col min="15625" max="15625" width="3.7109375" customWidth="1"/>
    <col min="15626" max="15626" width="3.28515625" customWidth="1"/>
    <col min="15627" max="15627" width="6.42578125" customWidth="1"/>
    <col min="15628" max="15628" width="8.28515625" customWidth="1"/>
    <col min="15629" max="15629" width="0.28515625" customWidth="1"/>
    <col min="15630" max="15630" width="19.28515625" customWidth="1"/>
    <col min="15631" max="15631" width="17.140625" customWidth="1"/>
    <col min="15632" max="15632" width="7.42578125" customWidth="1"/>
    <col min="15633" max="15633" width="9.28515625" customWidth="1"/>
    <col min="15634" max="15634" width="49.42578125" customWidth="1"/>
    <col min="15635" max="15638" width="9.42578125" customWidth="1"/>
    <col min="15639" max="15639" width="22.28515625" customWidth="1"/>
    <col min="15640" max="15640" width="18" customWidth="1"/>
    <col min="15641" max="15641" width="12.140625" customWidth="1"/>
    <col min="15642" max="15642" width="5.42578125" customWidth="1"/>
    <col min="15643" max="15643" width="14.5703125" customWidth="1"/>
    <col min="15644" max="15644" width="18.7109375" customWidth="1"/>
    <col min="15645" max="15645" width="8.85546875" customWidth="1"/>
    <col min="15646" max="15646" width="9.28515625" customWidth="1"/>
    <col min="15647" max="15647" width="8.85546875" customWidth="1"/>
    <col min="15648" max="15648" width="13.7109375" customWidth="1"/>
    <col min="15649" max="15649" width="5.5703125" customWidth="1"/>
    <col min="15650" max="15650" width="5.7109375" customWidth="1"/>
    <col min="15651" max="15651" width="4.85546875" customWidth="1"/>
    <col min="15652" max="15653" width="5" customWidth="1"/>
    <col min="15654" max="15654" width="4.85546875" customWidth="1"/>
    <col min="15655" max="15655" width="5" customWidth="1"/>
    <col min="15656" max="15656" width="5.28515625" customWidth="1"/>
    <col min="15657" max="15657" width="9.7109375" customWidth="1"/>
    <col min="15658" max="15658" width="10" customWidth="1"/>
    <col min="15661" max="15661" width="10.28515625" customWidth="1"/>
    <col min="15662" max="15662" width="10.7109375" customWidth="1"/>
    <col min="15663" max="15663" width="10.28515625" customWidth="1"/>
    <col min="15664" max="15664" width="10.5703125" customWidth="1"/>
    <col min="15665" max="15665" width="10.42578125" customWidth="1"/>
    <col min="15666" max="15666" width="10.5703125" customWidth="1"/>
    <col min="15667" max="15667" width="10.42578125" customWidth="1"/>
    <col min="15668" max="15668" width="10.5703125" customWidth="1"/>
    <col min="15669" max="15669" width="10.42578125" customWidth="1"/>
    <col min="15670" max="15670" width="10.5703125" customWidth="1"/>
    <col min="15671" max="15671" width="10.28515625" customWidth="1"/>
    <col min="15873" max="15873" width="10.140625" customWidth="1"/>
    <col min="15874" max="15874" width="12.7109375" customWidth="1"/>
    <col min="15875" max="15875" width="3.42578125" customWidth="1"/>
    <col min="15876" max="15876" width="3.28515625" customWidth="1"/>
    <col min="15877" max="15877" width="3.42578125" customWidth="1"/>
    <col min="15878" max="15878" width="5" customWidth="1"/>
    <col min="15879" max="15879" width="2.85546875" customWidth="1"/>
    <col min="15880" max="15880" width="3.5703125" customWidth="1"/>
    <col min="15881" max="15881" width="3.7109375" customWidth="1"/>
    <col min="15882" max="15882" width="3.28515625" customWidth="1"/>
    <col min="15883" max="15883" width="6.42578125" customWidth="1"/>
    <col min="15884" max="15884" width="8.28515625" customWidth="1"/>
    <col min="15885" max="15885" width="0.28515625" customWidth="1"/>
    <col min="15886" max="15886" width="19.28515625" customWidth="1"/>
    <col min="15887" max="15887" width="17.140625" customWidth="1"/>
    <col min="15888" max="15888" width="7.42578125" customWidth="1"/>
    <col min="15889" max="15889" width="9.28515625" customWidth="1"/>
    <col min="15890" max="15890" width="49.42578125" customWidth="1"/>
    <col min="15891" max="15894" width="9.42578125" customWidth="1"/>
    <col min="15895" max="15895" width="22.28515625" customWidth="1"/>
    <col min="15896" max="15896" width="18" customWidth="1"/>
    <col min="15897" max="15897" width="12.140625" customWidth="1"/>
    <col min="15898" max="15898" width="5.42578125" customWidth="1"/>
    <col min="15899" max="15899" width="14.5703125" customWidth="1"/>
    <col min="15900" max="15900" width="18.7109375" customWidth="1"/>
    <col min="15901" max="15901" width="8.85546875" customWidth="1"/>
    <col min="15902" max="15902" width="9.28515625" customWidth="1"/>
    <col min="15903" max="15903" width="8.85546875" customWidth="1"/>
    <col min="15904" max="15904" width="13.7109375" customWidth="1"/>
    <col min="15905" max="15905" width="5.5703125" customWidth="1"/>
    <col min="15906" max="15906" width="5.7109375" customWidth="1"/>
    <col min="15907" max="15907" width="4.85546875" customWidth="1"/>
    <col min="15908" max="15909" width="5" customWidth="1"/>
    <col min="15910" max="15910" width="4.85546875" customWidth="1"/>
    <col min="15911" max="15911" width="5" customWidth="1"/>
    <col min="15912" max="15912" width="5.28515625" customWidth="1"/>
    <col min="15913" max="15913" width="9.7109375" customWidth="1"/>
    <col min="15914" max="15914" width="10" customWidth="1"/>
    <col min="15917" max="15917" width="10.28515625" customWidth="1"/>
    <col min="15918" max="15918" width="10.7109375" customWidth="1"/>
    <col min="15919" max="15919" width="10.28515625" customWidth="1"/>
    <col min="15920" max="15920" width="10.5703125" customWidth="1"/>
    <col min="15921" max="15921" width="10.42578125" customWidth="1"/>
    <col min="15922" max="15922" width="10.5703125" customWidth="1"/>
    <col min="15923" max="15923" width="10.42578125" customWidth="1"/>
    <col min="15924" max="15924" width="10.5703125" customWidth="1"/>
    <col min="15925" max="15925" width="10.42578125" customWidth="1"/>
    <col min="15926" max="15926" width="10.5703125" customWidth="1"/>
    <col min="15927" max="15927" width="10.28515625" customWidth="1"/>
    <col min="16129" max="16129" width="10.140625" customWidth="1"/>
    <col min="16130" max="16130" width="12.7109375" customWidth="1"/>
    <col min="16131" max="16131" width="3.42578125" customWidth="1"/>
    <col min="16132" max="16132" width="3.28515625" customWidth="1"/>
    <col min="16133" max="16133" width="3.42578125" customWidth="1"/>
    <col min="16134" max="16134" width="5" customWidth="1"/>
    <col min="16135" max="16135" width="2.85546875" customWidth="1"/>
    <col min="16136" max="16136" width="3.5703125" customWidth="1"/>
    <col min="16137" max="16137" width="3.7109375" customWidth="1"/>
    <col min="16138" max="16138" width="3.28515625" customWidth="1"/>
    <col min="16139" max="16139" width="6.42578125" customWidth="1"/>
    <col min="16140" max="16140" width="8.28515625" customWidth="1"/>
    <col min="16141" max="16141" width="0.28515625" customWidth="1"/>
    <col min="16142" max="16142" width="19.28515625" customWidth="1"/>
    <col min="16143" max="16143" width="17.140625" customWidth="1"/>
    <col min="16144" max="16144" width="7.42578125" customWidth="1"/>
    <col min="16145" max="16145" width="9.28515625" customWidth="1"/>
    <col min="16146" max="16146" width="49.42578125" customWidth="1"/>
    <col min="16147" max="16150" width="9.42578125" customWidth="1"/>
    <col min="16151" max="16151" width="22.28515625" customWidth="1"/>
    <col min="16152" max="16152" width="18" customWidth="1"/>
    <col min="16153" max="16153" width="12.140625" customWidth="1"/>
    <col min="16154" max="16154" width="5.42578125" customWidth="1"/>
    <col min="16155" max="16155" width="14.5703125" customWidth="1"/>
    <col min="16156" max="16156" width="18.7109375" customWidth="1"/>
    <col min="16157" max="16157" width="8.85546875" customWidth="1"/>
    <col min="16158" max="16158" width="9.28515625" customWidth="1"/>
    <col min="16159" max="16159" width="8.85546875" customWidth="1"/>
    <col min="16160" max="16160" width="13.7109375" customWidth="1"/>
    <col min="16161" max="16161" width="5.5703125" customWidth="1"/>
    <col min="16162" max="16162" width="5.7109375" customWidth="1"/>
    <col min="16163" max="16163" width="4.85546875" customWidth="1"/>
    <col min="16164" max="16165" width="5" customWidth="1"/>
    <col min="16166" max="16166" width="4.85546875" customWidth="1"/>
    <col min="16167" max="16167" width="5" customWidth="1"/>
    <col min="16168" max="16168" width="5.28515625" customWidth="1"/>
    <col min="16169" max="16169" width="9.7109375" customWidth="1"/>
    <col min="16170" max="16170" width="10" customWidth="1"/>
    <col min="16173" max="16173" width="10.28515625" customWidth="1"/>
    <col min="16174" max="16174" width="10.7109375" customWidth="1"/>
    <col min="16175" max="16175" width="10.28515625" customWidth="1"/>
    <col min="16176" max="16176" width="10.5703125" customWidth="1"/>
    <col min="16177" max="16177" width="10.42578125" customWidth="1"/>
    <col min="16178" max="16178" width="10.5703125" customWidth="1"/>
    <col min="16179" max="16179" width="10.42578125" customWidth="1"/>
    <col min="16180" max="16180" width="10.5703125" customWidth="1"/>
    <col min="16181" max="16181" width="10.42578125" customWidth="1"/>
    <col min="16182" max="16182" width="10.5703125" customWidth="1"/>
    <col min="16183" max="16183" width="10.28515625" customWidth="1"/>
  </cols>
  <sheetData>
    <row r="1" spans="1:57" s="21" customFormat="1" x14ac:dyDescent="0.25">
      <c r="A1" s="22" t="s">
        <v>364</v>
      </c>
      <c r="N1" s="21" t="s">
        <v>365</v>
      </c>
      <c r="AS1" s="21" t="s">
        <v>366</v>
      </c>
      <c r="BD1" s="21" t="s">
        <v>367</v>
      </c>
    </row>
    <row r="2" spans="1:57" s="21" customFormat="1" x14ac:dyDescent="0.25">
      <c r="A2" s="22"/>
      <c r="N2" s="21" t="s">
        <v>368</v>
      </c>
      <c r="W2" s="21" t="s">
        <v>369</v>
      </c>
      <c r="Z2" s="21" t="s">
        <v>11</v>
      </c>
      <c r="AF2" s="21" t="s">
        <v>370</v>
      </c>
      <c r="AJ2" s="21" t="s">
        <v>371</v>
      </c>
      <c r="AQ2" s="21" t="s">
        <v>372</v>
      </c>
      <c r="AS2" s="21" t="s">
        <v>373</v>
      </c>
      <c r="AV2" s="21" t="s">
        <v>374</v>
      </c>
      <c r="AZ2" s="21" t="s">
        <v>375</v>
      </c>
    </row>
    <row r="3" spans="1:57" s="21" customFormat="1" x14ac:dyDescent="0.25">
      <c r="A3" s="22" t="s">
        <v>376</v>
      </c>
      <c r="B3" s="21" t="s">
        <v>377</v>
      </c>
      <c r="C3" s="21" t="s">
        <v>5</v>
      </c>
      <c r="D3" s="21" t="s">
        <v>378</v>
      </c>
      <c r="E3" s="21" t="s">
        <v>379</v>
      </c>
      <c r="F3" s="21" t="s">
        <v>380</v>
      </c>
      <c r="G3" s="21" t="s">
        <v>381</v>
      </c>
      <c r="H3" s="21" t="s">
        <v>382</v>
      </c>
      <c r="I3" s="21" t="s">
        <v>383</v>
      </c>
      <c r="J3" s="21" t="s">
        <v>384</v>
      </c>
      <c r="K3" s="21" t="s">
        <v>385</v>
      </c>
      <c r="L3" s="21" t="s">
        <v>386</v>
      </c>
      <c r="N3" s="22" t="s">
        <v>387</v>
      </c>
      <c r="O3" s="22" t="s">
        <v>1</v>
      </c>
      <c r="P3" s="21" t="s">
        <v>388</v>
      </c>
      <c r="Q3" s="22" t="s">
        <v>389</v>
      </c>
      <c r="R3" s="21" t="s">
        <v>390</v>
      </c>
      <c r="S3" s="21" t="s">
        <v>391</v>
      </c>
      <c r="T3" s="21" t="s">
        <v>392</v>
      </c>
      <c r="U3" s="21" t="s">
        <v>393</v>
      </c>
      <c r="V3" s="21" t="s">
        <v>394</v>
      </c>
      <c r="W3" s="21" t="s">
        <v>395</v>
      </c>
      <c r="X3" s="21" t="s">
        <v>396</v>
      </c>
      <c r="Y3" s="21" t="s">
        <v>397</v>
      </c>
      <c r="Z3" s="21" t="s">
        <v>398</v>
      </c>
      <c r="AA3" s="21" t="s">
        <v>399</v>
      </c>
      <c r="AB3" s="21" t="s">
        <v>400</v>
      </c>
      <c r="AC3" s="21" t="s">
        <v>10</v>
      </c>
      <c r="AD3" s="21" t="s">
        <v>401</v>
      </c>
      <c r="AE3" s="21" t="s">
        <v>402</v>
      </c>
      <c r="AF3" s="21" t="s">
        <v>403</v>
      </c>
      <c r="AG3" s="21" t="s">
        <v>404</v>
      </c>
      <c r="AH3" s="21" t="s">
        <v>405</v>
      </c>
      <c r="AI3" s="21" t="s">
        <v>406</v>
      </c>
      <c r="AJ3" s="21" t="s">
        <v>407</v>
      </c>
      <c r="AK3" s="21" t="s">
        <v>408</v>
      </c>
      <c r="AL3" s="21" t="s">
        <v>404</v>
      </c>
      <c r="AM3" s="21" t="s">
        <v>405</v>
      </c>
      <c r="AN3" s="21" t="s">
        <v>406</v>
      </c>
      <c r="AO3" s="21" t="s">
        <v>409</v>
      </c>
      <c r="AP3" s="21" t="s">
        <v>410</v>
      </c>
      <c r="AQ3" s="21" t="s">
        <v>411</v>
      </c>
      <c r="AR3" s="21" t="s">
        <v>412</v>
      </c>
      <c r="AS3" s="21" t="s">
        <v>413</v>
      </c>
      <c r="AT3" s="21" t="s">
        <v>414</v>
      </c>
      <c r="AU3" s="21" t="s">
        <v>415</v>
      </c>
      <c r="AV3" s="21" t="s">
        <v>413</v>
      </c>
      <c r="AW3" s="21" t="s">
        <v>414</v>
      </c>
      <c r="AX3" s="21" t="s">
        <v>415</v>
      </c>
      <c r="AY3" s="21" t="s">
        <v>416</v>
      </c>
      <c r="AZ3" s="21" t="s">
        <v>413</v>
      </c>
      <c r="BA3" s="21" t="s">
        <v>414</v>
      </c>
      <c r="BB3" s="21" t="s">
        <v>415</v>
      </c>
      <c r="BC3" s="21" t="s">
        <v>416</v>
      </c>
      <c r="BD3" s="21" t="s">
        <v>395</v>
      </c>
      <c r="BE3" s="21" t="s">
        <v>396</v>
      </c>
    </row>
    <row r="4" spans="1:57" s="21" customFormat="1" ht="15.2" customHeight="1" x14ac:dyDescent="0.25">
      <c r="A4" s="22" t="s">
        <v>417</v>
      </c>
      <c r="B4" s="21" t="s">
        <v>418</v>
      </c>
      <c r="D4" s="21" t="s">
        <v>419</v>
      </c>
      <c r="E4" s="21" t="s">
        <v>420</v>
      </c>
      <c r="G4" s="21" t="s">
        <v>421</v>
      </c>
      <c r="I4" s="21" t="s">
        <v>422</v>
      </c>
      <c r="L4" s="21" t="s">
        <v>423</v>
      </c>
      <c r="N4" s="21" t="s">
        <v>424</v>
      </c>
      <c r="P4" s="21" t="s">
        <v>425</v>
      </c>
      <c r="Q4" s="21" t="s">
        <v>50</v>
      </c>
      <c r="R4" s="21" t="s">
        <v>426</v>
      </c>
      <c r="T4" s="21" t="s">
        <v>427</v>
      </c>
      <c r="W4" s="21">
        <v>0</v>
      </c>
      <c r="X4" s="21">
        <v>0</v>
      </c>
      <c r="Y4" s="21">
        <v>0</v>
      </c>
      <c r="Z4" s="21">
        <v>0</v>
      </c>
      <c r="AA4" s="21">
        <v>0</v>
      </c>
      <c r="AB4" s="21">
        <v>0</v>
      </c>
      <c r="AC4" s="21">
        <v>0</v>
      </c>
      <c r="AD4" s="21">
        <v>0</v>
      </c>
      <c r="AE4" s="21">
        <v>0</v>
      </c>
      <c r="AF4" s="21" t="s">
        <v>428</v>
      </c>
      <c r="AG4" s="21" t="s">
        <v>429</v>
      </c>
      <c r="AH4" s="21" t="s">
        <v>429</v>
      </c>
      <c r="AI4" s="21" t="s">
        <v>429</v>
      </c>
      <c r="AJ4" s="21" t="s">
        <v>430</v>
      </c>
      <c r="AK4" s="21" t="s">
        <v>430</v>
      </c>
      <c r="AN4" s="21" t="s">
        <v>431</v>
      </c>
      <c r="AO4" s="21" t="s">
        <v>432</v>
      </c>
      <c r="AQ4" s="21">
        <v>0</v>
      </c>
      <c r="AR4" s="21">
        <v>0</v>
      </c>
      <c r="AS4" s="21">
        <v>0</v>
      </c>
      <c r="AT4" s="21">
        <v>0</v>
      </c>
      <c r="AU4" s="21">
        <v>0</v>
      </c>
      <c r="AV4" s="21">
        <v>0</v>
      </c>
      <c r="AW4" s="21">
        <v>0</v>
      </c>
      <c r="AX4" s="21">
        <v>0</v>
      </c>
      <c r="AY4" s="21">
        <v>0</v>
      </c>
      <c r="AZ4" s="21">
        <v>0</v>
      </c>
      <c r="BA4" s="21">
        <v>0</v>
      </c>
      <c r="BB4" s="21">
        <v>0</v>
      </c>
      <c r="BC4" s="21">
        <v>0</v>
      </c>
      <c r="BD4" s="21">
        <v>46063</v>
      </c>
      <c r="BE4" s="21">
        <v>46068</v>
      </c>
    </row>
    <row r="5" spans="1:57" ht="15.2" customHeight="1" x14ac:dyDescent="0.25">
      <c r="A5" t="s">
        <v>281</v>
      </c>
      <c r="B5" t="s">
        <v>433</v>
      </c>
      <c r="D5" t="s">
        <v>419</v>
      </c>
      <c r="E5" t="s">
        <v>420</v>
      </c>
      <c r="G5" t="s">
        <v>421</v>
      </c>
      <c r="I5" t="s">
        <v>422</v>
      </c>
      <c r="N5" t="s">
        <v>424</v>
      </c>
      <c r="P5" t="s">
        <v>425</v>
      </c>
      <c r="Q5" t="s">
        <v>96</v>
      </c>
      <c r="R5" t="s">
        <v>434</v>
      </c>
      <c r="T5" t="s">
        <v>427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 t="s">
        <v>428</v>
      </c>
      <c r="AG5" t="s">
        <v>429</v>
      </c>
      <c r="AH5" t="s">
        <v>429</v>
      </c>
      <c r="AI5" t="s">
        <v>429</v>
      </c>
      <c r="AJ5" t="s">
        <v>430</v>
      </c>
      <c r="AK5" t="s">
        <v>430</v>
      </c>
      <c r="AN5" t="s">
        <v>431</v>
      </c>
      <c r="AO5" t="s">
        <v>432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46064</v>
      </c>
      <c r="BE5">
        <v>46074</v>
      </c>
    </row>
    <row r="6" spans="1:57" ht="15.2" customHeight="1" x14ac:dyDescent="0.25">
      <c r="A6" t="s">
        <v>435</v>
      </c>
      <c r="B6" t="s">
        <v>436</v>
      </c>
      <c r="D6" t="s">
        <v>437</v>
      </c>
      <c r="E6" t="s">
        <v>420</v>
      </c>
      <c r="G6" t="s">
        <v>421</v>
      </c>
      <c r="L6" t="s">
        <v>438</v>
      </c>
      <c r="N6" t="s">
        <v>424</v>
      </c>
      <c r="O6" t="s">
        <v>439</v>
      </c>
      <c r="P6" t="s">
        <v>440</v>
      </c>
      <c r="Q6" t="s">
        <v>441</v>
      </c>
      <c r="R6" t="s">
        <v>442</v>
      </c>
      <c r="W6">
        <v>46064.333333333336</v>
      </c>
      <c r="X6">
        <v>46064.833333333336</v>
      </c>
      <c r="Y6">
        <v>0</v>
      </c>
      <c r="Z6">
        <v>12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429</v>
      </c>
      <c r="AG6" t="s">
        <v>429</v>
      </c>
      <c r="AH6" t="s">
        <v>429</v>
      </c>
      <c r="AI6" t="s">
        <v>429</v>
      </c>
      <c r="AN6" t="s">
        <v>431</v>
      </c>
      <c r="AO6" t="s">
        <v>432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46064</v>
      </c>
      <c r="BE6">
        <v>46064</v>
      </c>
    </row>
    <row r="7" spans="1:57" ht="15.2" customHeight="1" x14ac:dyDescent="0.25">
      <c r="A7" t="s">
        <v>435</v>
      </c>
      <c r="B7" t="s">
        <v>436</v>
      </c>
      <c r="D7" t="s">
        <v>437</v>
      </c>
      <c r="E7" t="s">
        <v>420</v>
      </c>
      <c r="G7" t="s">
        <v>421</v>
      </c>
      <c r="L7" t="s">
        <v>438</v>
      </c>
      <c r="N7" t="s">
        <v>424</v>
      </c>
      <c r="O7" t="s">
        <v>443</v>
      </c>
      <c r="P7" t="s">
        <v>440</v>
      </c>
      <c r="Q7" t="s">
        <v>441</v>
      </c>
      <c r="R7" t="s">
        <v>444</v>
      </c>
      <c r="W7">
        <v>46064.447916666664</v>
      </c>
      <c r="X7">
        <v>46064.958333333336</v>
      </c>
      <c r="Y7">
        <v>0</v>
      </c>
      <c r="Z7">
        <v>12.25</v>
      </c>
      <c r="AA7">
        <v>11.23</v>
      </c>
      <c r="AB7">
        <v>11.23</v>
      </c>
      <c r="AC7">
        <v>0</v>
      </c>
      <c r="AD7">
        <v>0</v>
      </c>
      <c r="AE7">
        <v>11.23</v>
      </c>
      <c r="AF7" t="s">
        <v>429</v>
      </c>
      <c r="AG7" t="s">
        <v>429</v>
      </c>
      <c r="AH7" t="s">
        <v>429</v>
      </c>
      <c r="AI7" t="s">
        <v>428</v>
      </c>
      <c r="AN7" t="s">
        <v>445</v>
      </c>
      <c r="AO7" t="s">
        <v>446</v>
      </c>
      <c r="AQ7">
        <v>256662.32</v>
      </c>
      <c r="AR7">
        <v>256662.32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46064</v>
      </c>
      <c r="BE7">
        <v>46064</v>
      </c>
    </row>
    <row r="8" spans="1:57" ht="15.2" customHeight="1" x14ac:dyDescent="0.25">
      <c r="A8" t="s">
        <v>435</v>
      </c>
      <c r="B8" t="s">
        <v>436</v>
      </c>
      <c r="D8" t="s">
        <v>437</v>
      </c>
      <c r="E8" t="s">
        <v>420</v>
      </c>
      <c r="G8" t="s">
        <v>421</v>
      </c>
      <c r="L8" t="s">
        <v>438</v>
      </c>
      <c r="N8" t="s">
        <v>424</v>
      </c>
      <c r="O8" t="s">
        <v>439</v>
      </c>
      <c r="P8" t="s">
        <v>440</v>
      </c>
      <c r="Q8" t="s">
        <v>447</v>
      </c>
      <c r="R8" t="s">
        <v>448</v>
      </c>
      <c r="W8">
        <v>46066.375</v>
      </c>
      <c r="X8">
        <v>46067.833333333336</v>
      </c>
      <c r="Y8">
        <v>0</v>
      </c>
      <c r="Z8">
        <v>35</v>
      </c>
      <c r="AA8">
        <v>0</v>
      </c>
      <c r="AB8">
        <v>0</v>
      </c>
      <c r="AC8">
        <v>0</v>
      </c>
      <c r="AD8">
        <v>0</v>
      </c>
      <c r="AE8">
        <v>0</v>
      </c>
      <c r="AF8" t="s">
        <v>429</v>
      </c>
      <c r="AG8" t="s">
        <v>429</v>
      </c>
      <c r="AH8" t="s">
        <v>429</v>
      </c>
      <c r="AI8" t="s">
        <v>429</v>
      </c>
      <c r="AN8" t="s">
        <v>431</v>
      </c>
      <c r="AO8" t="s">
        <v>432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46066</v>
      </c>
      <c r="BE8">
        <v>46068</v>
      </c>
    </row>
    <row r="9" spans="1:57" ht="15.2" customHeight="1" x14ac:dyDescent="0.25">
      <c r="A9" t="s">
        <v>435</v>
      </c>
      <c r="B9" t="s">
        <v>436</v>
      </c>
      <c r="D9" t="s">
        <v>437</v>
      </c>
      <c r="E9" t="s">
        <v>420</v>
      </c>
      <c r="G9" t="s">
        <v>421</v>
      </c>
      <c r="L9" t="s">
        <v>438</v>
      </c>
      <c r="N9" t="s">
        <v>424</v>
      </c>
      <c r="O9" t="s">
        <v>439</v>
      </c>
      <c r="P9" t="s">
        <v>440</v>
      </c>
      <c r="Q9" t="s">
        <v>449</v>
      </c>
      <c r="R9" t="s">
        <v>450</v>
      </c>
      <c r="W9">
        <v>46069.375</v>
      </c>
      <c r="X9">
        <v>46069.833333333336</v>
      </c>
      <c r="Y9">
        <v>0</v>
      </c>
      <c r="Z9">
        <v>11</v>
      </c>
      <c r="AA9">
        <v>0</v>
      </c>
      <c r="AB9">
        <v>0</v>
      </c>
      <c r="AC9">
        <v>0</v>
      </c>
      <c r="AD9">
        <v>0</v>
      </c>
      <c r="AE9">
        <v>0</v>
      </c>
      <c r="AF9" t="s">
        <v>429</v>
      </c>
      <c r="AG9" t="s">
        <v>429</v>
      </c>
      <c r="AH9" t="s">
        <v>429</v>
      </c>
      <c r="AI9" t="s">
        <v>429</v>
      </c>
      <c r="AN9" t="s">
        <v>431</v>
      </c>
      <c r="AO9" t="s">
        <v>432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46069</v>
      </c>
      <c r="BE9">
        <v>46070</v>
      </c>
    </row>
    <row r="10" spans="1:57" ht="15.2" customHeight="1" x14ac:dyDescent="0.25">
      <c r="A10" t="s">
        <v>435</v>
      </c>
      <c r="B10" t="s">
        <v>436</v>
      </c>
      <c r="D10" t="s">
        <v>437</v>
      </c>
      <c r="E10" t="s">
        <v>420</v>
      </c>
      <c r="G10" t="s">
        <v>421</v>
      </c>
      <c r="L10" t="s">
        <v>438</v>
      </c>
      <c r="N10" t="s">
        <v>424</v>
      </c>
      <c r="O10" t="s">
        <v>439</v>
      </c>
      <c r="P10" t="s">
        <v>440</v>
      </c>
      <c r="Q10" t="s">
        <v>441</v>
      </c>
      <c r="R10" t="s">
        <v>451</v>
      </c>
      <c r="W10">
        <v>46066.041666666664</v>
      </c>
      <c r="X10">
        <v>46066.375</v>
      </c>
      <c r="Y10">
        <v>0</v>
      </c>
      <c r="Z10">
        <v>8</v>
      </c>
      <c r="AA10">
        <v>0</v>
      </c>
      <c r="AB10">
        <v>0</v>
      </c>
      <c r="AC10">
        <v>0</v>
      </c>
      <c r="AD10">
        <v>0</v>
      </c>
      <c r="AE10">
        <v>0</v>
      </c>
      <c r="AF10" t="s">
        <v>429</v>
      </c>
      <c r="AG10" t="s">
        <v>429</v>
      </c>
      <c r="AH10" t="s">
        <v>429</v>
      </c>
      <c r="AI10" t="s">
        <v>429</v>
      </c>
      <c r="AN10" t="s">
        <v>431</v>
      </c>
      <c r="AO10" t="s">
        <v>432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46065</v>
      </c>
      <c r="BE10">
        <v>46067</v>
      </c>
    </row>
    <row r="11" spans="1:57" ht="15.2" customHeight="1" x14ac:dyDescent="0.25">
      <c r="A11" t="s">
        <v>435</v>
      </c>
      <c r="B11" t="s">
        <v>436</v>
      </c>
      <c r="D11" t="s">
        <v>437</v>
      </c>
      <c r="E11" t="s">
        <v>420</v>
      </c>
      <c r="G11" t="s">
        <v>421</v>
      </c>
      <c r="L11" t="s">
        <v>438</v>
      </c>
      <c r="N11" t="s">
        <v>424</v>
      </c>
      <c r="O11" t="s">
        <v>439</v>
      </c>
      <c r="P11" t="s">
        <v>440</v>
      </c>
      <c r="Q11" t="s">
        <v>441</v>
      </c>
      <c r="R11" t="s">
        <v>452</v>
      </c>
      <c r="W11">
        <v>46070.375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 t="s">
        <v>429</v>
      </c>
      <c r="AG11" t="s">
        <v>429</v>
      </c>
      <c r="AH11" t="s">
        <v>429</v>
      </c>
      <c r="AI11" t="s">
        <v>429</v>
      </c>
      <c r="AN11" t="s">
        <v>431</v>
      </c>
      <c r="AO11" t="s">
        <v>432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46070</v>
      </c>
      <c r="BE11">
        <v>46071</v>
      </c>
    </row>
    <row r="12" spans="1:57" ht="15.2" customHeight="1" x14ac:dyDescent="0.25">
      <c r="A12" t="s">
        <v>435</v>
      </c>
      <c r="B12" t="s">
        <v>436</v>
      </c>
      <c r="D12" t="s">
        <v>437</v>
      </c>
      <c r="E12" t="s">
        <v>420</v>
      </c>
      <c r="G12" t="s">
        <v>421</v>
      </c>
      <c r="L12" t="s">
        <v>438</v>
      </c>
      <c r="N12" t="s">
        <v>424</v>
      </c>
      <c r="O12" t="s">
        <v>439</v>
      </c>
      <c r="P12" t="s">
        <v>440</v>
      </c>
      <c r="Q12" t="s">
        <v>441</v>
      </c>
      <c r="R12" t="s">
        <v>453</v>
      </c>
      <c r="W12">
        <v>46061.875</v>
      </c>
      <c r="X12">
        <v>46062.541666666664</v>
      </c>
      <c r="Y12">
        <v>0</v>
      </c>
      <c r="Z12">
        <v>16</v>
      </c>
      <c r="AA12">
        <v>0</v>
      </c>
      <c r="AB12">
        <v>0</v>
      </c>
      <c r="AC12">
        <v>0</v>
      </c>
      <c r="AD12">
        <v>0</v>
      </c>
      <c r="AE12">
        <v>0</v>
      </c>
      <c r="AF12" t="s">
        <v>429</v>
      </c>
      <c r="AG12" t="s">
        <v>429</v>
      </c>
      <c r="AH12" t="s">
        <v>429</v>
      </c>
      <c r="AI12" t="s">
        <v>429</v>
      </c>
      <c r="AN12" t="s">
        <v>431</v>
      </c>
      <c r="AO12" t="s">
        <v>432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46061</v>
      </c>
      <c r="BE12">
        <v>46063</v>
      </c>
    </row>
    <row r="13" spans="1:57" ht="15.2" customHeight="1" x14ac:dyDescent="0.25">
      <c r="A13" t="s">
        <v>435</v>
      </c>
      <c r="B13" t="s">
        <v>436</v>
      </c>
      <c r="D13" t="s">
        <v>437</v>
      </c>
      <c r="E13" t="s">
        <v>420</v>
      </c>
      <c r="G13" t="s">
        <v>421</v>
      </c>
      <c r="L13" t="s">
        <v>438</v>
      </c>
      <c r="N13" t="s">
        <v>424</v>
      </c>
      <c r="O13" t="s">
        <v>454</v>
      </c>
      <c r="P13" t="s">
        <v>440</v>
      </c>
      <c r="Q13" t="s">
        <v>441</v>
      </c>
      <c r="R13" t="s">
        <v>455</v>
      </c>
      <c r="W13">
        <v>46054.666666666664</v>
      </c>
      <c r="X13">
        <v>46058.375</v>
      </c>
      <c r="Y13">
        <v>0</v>
      </c>
      <c r="Z13">
        <v>81</v>
      </c>
      <c r="AA13">
        <v>74.25</v>
      </c>
      <c r="AB13">
        <v>74</v>
      </c>
      <c r="AC13">
        <v>34</v>
      </c>
      <c r="AD13">
        <v>34</v>
      </c>
      <c r="AE13">
        <v>40.25</v>
      </c>
      <c r="AF13" t="s">
        <v>429</v>
      </c>
      <c r="AG13" t="s">
        <v>429</v>
      </c>
      <c r="AH13" t="s">
        <v>429</v>
      </c>
      <c r="AI13" t="s">
        <v>428</v>
      </c>
      <c r="AN13" t="s">
        <v>445</v>
      </c>
      <c r="AO13" t="s">
        <v>446</v>
      </c>
      <c r="AQ13">
        <v>1458152.76</v>
      </c>
      <c r="AR13">
        <v>1458152.76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46054</v>
      </c>
      <c r="BE13">
        <v>46060</v>
      </c>
    </row>
    <row r="14" spans="1:57" ht="15.2" customHeight="1" x14ac:dyDescent="0.25">
      <c r="A14" t="s">
        <v>435</v>
      </c>
      <c r="B14" t="s">
        <v>436</v>
      </c>
      <c r="D14" t="s">
        <v>437</v>
      </c>
      <c r="E14" t="s">
        <v>420</v>
      </c>
      <c r="G14" t="s">
        <v>421</v>
      </c>
      <c r="L14" t="s">
        <v>438</v>
      </c>
      <c r="N14" t="s">
        <v>424</v>
      </c>
      <c r="O14" t="s">
        <v>439</v>
      </c>
      <c r="P14" t="s">
        <v>440</v>
      </c>
      <c r="Q14" t="s">
        <v>456</v>
      </c>
      <c r="R14" t="s">
        <v>457</v>
      </c>
      <c r="W14">
        <v>46054.5</v>
      </c>
      <c r="X14">
        <v>46054.833333333336</v>
      </c>
      <c r="Y14">
        <v>0</v>
      </c>
      <c r="Z14">
        <v>8</v>
      </c>
      <c r="AA14">
        <v>0</v>
      </c>
      <c r="AB14">
        <v>0</v>
      </c>
      <c r="AC14">
        <v>0</v>
      </c>
      <c r="AD14">
        <v>0</v>
      </c>
      <c r="AE14">
        <v>0</v>
      </c>
      <c r="AF14" t="s">
        <v>429</v>
      </c>
      <c r="AG14" t="s">
        <v>429</v>
      </c>
      <c r="AH14" t="s">
        <v>429</v>
      </c>
      <c r="AI14" t="s">
        <v>429</v>
      </c>
      <c r="AN14" t="s">
        <v>431</v>
      </c>
      <c r="AO14" t="s">
        <v>432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46054</v>
      </c>
      <c r="BE14">
        <v>46056</v>
      </c>
    </row>
    <row r="15" spans="1:57" ht="15.2" customHeight="1" x14ac:dyDescent="0.25">
      <c r="A15" t="s">
        <v>435</v>
      </c>
      <c r="B15" t="s">
        <v>436</v>
      </c>
      <c r="D15" t="s">
        <v>437</v>
      </c>
      <c r="E15" t="s">
        <v>420</v>
      </c>
      <c r="G15" t="s">
        <v>421</v>
      </c>
      <c r="L15" t="s">
        <v>438</v>
      </c>
      <c r="N15" t="s">
        <v>424</v>
      </c>
      <c r="O15" t="s">
        <v>439</v>
      </c>
      <c r="P15" t="s">
        <v>440</v>
      </c>
      <c r="Q15" t="s">
        <v>441</v>
      </c>
      <c r="R15" t="s">
        <v>458</v>
      </c>
      <c r="W15">
        <v>46055.333333333336</v>
      </c>
      <c r="X15">
        <v>46059.208333333336</v>
      </c>
      <c r="Y15">
        <v>0</v>
      </c>
      <c r="Z15">
        <v>93</v>
      </c>
      <c r="AA15">
        <v>0</v>
      </c>
      <c r="AB15">
        <v>0</v>
      </c>
      <c r="AC15">
        <v>25</v>
      </c>
      <c r="AD15">
        <v>25</v>
      </c>
      <c r="AE15">
        <v>-25</v>
      </c>
      <c r="AF15" t="s">
        <v>429</v>
      </c>
      <c r="AG15" t="s">
        <v>429</v>
      </c>
      <c r="AH15" t="s">
        <v>429</v>
      </c>
      <c r="AI15" t="s">
        <v>429</v>
      </c>
      <c r="AN15" t="s">
        <v>431</v>
      </c>
      <c r="AO15" t="s">
        <v>432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46055</v>
      </c>
      <c r="BE15">
        <v>46059</v>
      </c>
    </row>
    <row r="16" spans="1:57" ht="15.2" customHeight="1" x14ac:dyDescent="0.25">
      <c r="A16" t="s">
        <v>435</v>
      </c>
      <c r="B16" t="s">
        <v>436</v>
      </c>
      <c r="D16" t="s">
        <v>437</v>
      </c>
      <c r="E16" t="s">
        <v>420</v>
      </c>
      <c r="G16" t="s">
        <v>421</v>
      </c>
      <c r="L16" t="s">
        <v>438</v>
      </c>
      <c r="N16" t="s">
        <v>424</v>
      </c>
      <c r="O16" t="s">
        <v>443</v>
      </c>
      <c r="P16" t="s">
        <v>440</v>
      </c>
      <c r="Q16" t="s">
        <v>441</v>
      </c>
      <c r="R16" t="s">
        <v>459</v>
      </c>
      <c r="W16">
        <v>46063.458333333336</v>
      </c>
      <c r="X16">
        <v>46063.833333333336</v>
      </c>
      <c r="Y16">
        <v>0</v>
      </c>
      <c r="Z16">
        <v>9</v>
      </c>
      <c r="AA16">
        <v>8.25</v>
      </c>
      <c r="AB16">
        <v>8</v>
      </c>
      <c r="AC16">
        <v>0</v>
      </c>
      <c r="AD16">
        <v>0</v>
      </c>
      <c r="AE16">
        <v>8.25</v>
      </c>
      <c r="AF16" t="s">
        <v>429</v>
      </c>
      <c r="AG16" t="s">
        <v>429</v>
      </c>
      <c r="AH16" t="s">
        <v>429</v>
      </c>
      <c r="AI16" t="s">
        <v>428</v>
      </c>
      <c r="AN16" t="s">
        <v>445</v>
      </c>
      <c r="AO16" t="s">
        <v>446</v>
      </c>
      <c r="AQ16">
        <v>182840.48</v>
      </c>
      <c r="AR16">
        <v>182840.48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46063</v>
      </c>
      <c r="BE16">
        <v>46063</v>
      </c>
    </row>
    <row r="17" spans="1:57" ht="15.2" customHeight="1" x14ac:dyDescent="0.25">
      <c r="A17" t="s">
        <v>435</v>
      </c>
      <c r="B17" t="s">
        <v>436</v>
      </c>
      <c r="D17" t="s">
        <v>437</v>
      </c>
      <c r="E17" t="s">
        <v>420</v>
      </c>
      <c r="G17" t="s">
        <v>421</v>
      </c>
      <c r="L17" t="s">
        <v>438</v>
      </c>
      <c r="N17" t="s">
        <v>424</v>
      </c>
      <c r="O17" t="s">
        <v>439</v>
      </c>
      <c r="P17" t="s">
        <v>440</v>
      </c>
      <c r="Q17" t="s">
        <v>447</v>
      </c>
      <c r="R17" t="s">
        <v>460</v>
      </c>
      <c r="W17">
        <v>46059.208333333336</v>
      </c>
      <c r="X17">
        <v>46059.875</v>
      </c>
      <c r="Y17">
        <v>0</v>
      </c>
      <c r="Z17">
        <v>16</v>
      </c>
      <c r="AA17">
        <v>0</v>
      </c>
      <c r="AB17">
        <v>0</v>
      </c>
      <c r="AC17">
        <v>0</v>
      </c>
      <c r="AD17">
        <v>0</v>
      </c>
      <c r="AE17">
        <v>0</v>
      </c>
      <c r="AF17" t="s">
        <v>429</v>
      </c>
      <c r="AG17" t="s">
        <v>429</v>
      </c>
      <c r="AH17" t="s">
        <v>429</v>
      </c>
      <c r="AI17" t="s">
        <v>429</v>
      </c>
      <c r="AN17" t="s">
        <v>431</v>
      </c>
      <c r="AO17" t="s">
        <v>432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46059</v>
      </c>
      <c r="BE17">
        <v>46062</v>
      </c>
    </row>
    <row r="18" spans="1:57" ht="15.2" customHeight="1" x14ac:dyDescent="0.25">
      <c r="A18" t="s">
        <v>435</v>
      </c>
      <c r="B18" t="s">
        <v>436</v>
      </c>
      <c r="D18" t="s">
        <v>437</v>
      </c>
      <c r="E18" t="s">
        <v>420</v>
      </c>
      <c r="G18" t="s">
        <v>421</v>
      </c>
      <c r="L18" t="s">
        <v>438</v>
      </c>
      <c r="N18" t="s">
        <v>424</v>
      </c>
      <c r="O18" t="s">
        <v>439</v>
      </c>
      <c r="P18" t="s">
        <v>440</v>
      </c>
      <c r="Q18" t="s">
        <v>441</v>
      </c>
      <c r="R18" t="s">
        <v>461</v>
      </c>
      <c r="W18">
        <v>46060.541666666664</v>
      </c>
      <c r="X18">
        <v>46060.875</v>
      </c>
      <c r="Y18">
        <v>0</v>
      </c>
      <c r="Z18">
        <v>8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429</v>
      </c>
      <c r="AG18" t="s">
        <v>429</v>
      </c>
      <c r="AH18" t="s">
        <v>429</v>
      </c>
      <c r="AI18" t="s">
        <v>429</v>
      </c>
      <c r="AN18" t="s">
        <v>431</v>
      </c>
      <c r="AO18" t="s">
        <v>432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46060</v>
      </c>
      <c r="BE18">
        <v>46061</v>
      </c>
    </row>
    <row r="19" spans="1:57" ht="15.2" customHeight="1" x14ac:dyDescent="0.25">
      <c r="A19" t="s">
        <v>435</v>
      </c>
      <c r="B19" t="s">
        <v>436</v>
      </c>
      <c r="D19" t="s">
        <v>437</v>
      </c>
      <c r="E19" t="s">
        <v>420</v>
      </c>
      <c r="G19" t="s">
        <v>421</v>
      </c>
      <c r="L19" t="s">
        <v>438</v>
      </c>
      <c r="N19" t="s">
        <v>424</v>
      </c>
      <c r="O19" t="s">
        <v>439</v>
      </c>
      <c r="P19" t="s">
        <v>440</v>
      </c>
      <c r="Q19" t="s">
        <v>462</v>
      </c>
      <c r="R19" t="s">
        <v>463</v>
      </c>
      <c r="W19">
        <v>46069.833333333336</v>
      </c>
      <c r="X19">
        <v>46070.375</v>
      </c>
      <c r="Y19">
        <v>0</v>
      </c>
      <c r="Z19">
        <v>13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429</v>
      </c>
      <c r="AG19" t="s">
        <v>429</v>
      </c>
      <c r="AH19" t="s">
        <v>429</v>
      </c>
      <c r="AI19" t="s">
        <v>429</v>
      </c>
      <c r="AN19" t="s">
        <v>431</v>
      </c>
      <c r="AO19" t="s">
        <v>432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46069</v>
      </c>
      <c r="BE19">
        <v>46071</v>
      </c>
    </row>
    <row r="20" spans="1:57" ht="15.2" customHeight="1" x14ac:dyDescent="0.25">
      <c r="A20" t="s">
        <v>464</v>
      </c>
      <c r="B20" t="s">
        <v>465</v>
      </c>
      <c r="C20" t="s">
        <v>466</v>
      </c>
      <c r="D20" t="s">
        <v>467</v>
      </c>
      <c r="E20" t="s">
        <v>420</v>
      </c>
      <c r="F20" t="s">
        <v>468</v>
      </c>
      <c r="G20" t="s">
        <v>469</v>
      </c>
      <c r="H20" t="s">
        <v>470</v>
      </c>
      <c r="I20" t="s">
        <v>471</v>
      </c>
      <c r="L20" t="s">
        <v>472</v>
      </c>
      <c r="N20" t="s">
        <v>424</v>
      </c>
      <c r="O20" t="s">
        <v>39</v>
      </c>
      <c r="P20" t="s">
        <v>440</v>
      </c>
      <c r="Q20" t="s">
        <v>53</v>
      </c>
      <c r="R20" t="s">
        <v>473</v>
      </c>
      <c r="T20" t="s">
        <v>427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 t="s">
        <v>428</v>
      </c>
      <c r="AG20" t="s">
        <v>429</v>
      </c>
      <c r="AH20" t="s">
        <v>429</v>
      </c>
      <c r="AI20" t="s">
        <v>429</v>
      </c>
      <c r="AK20" t="s">
        <v>474</v>
      </c>
      <c r="AN20" t="s">
        <v>431</v>
      </c>
      <c r="AO20" t="s">
        <v>432</v>
      </c>
      <c r="AQ20">
        <v>0</v>
      </c>
      <c r="AR20">
        <v>0</v>
      </c>
      <c r="AS20">
        <v>0</v>
      </c>
      <c r="AT20">
        <v>462</v>
      </c>
      <c r="AU20">
        <v>0</v>
      </c>
      <c r="AV20">
        <v>0</v>
      </c>
      <c r="AW20">
        <v>462</v>
      </c>
      <c r="AX20">
        <v>0</v>
      </c>
      <c r="AY20">
        <v>0</v>
      </c>
      <c r="AZ20">
        <v>0</v>
      </c>
      <c r="BA20">
        <v>462</v>
      </c>
      <c r="BB20">
        <v>0</v>
      </c>
      <c r="BC20">
        <v>0</v>
      </c>
      <c r="BD20">
        <v>46058</v>
      </c>
      <c r="BE20">
        <v>46068</v>
      </c>
    </row>
    <row r="21" spans="1:57" ht="15.2" customHeight="1" x14ac:dyDescent="0.25">
      <c r="A21" t="s">
        <v>475</v>
      </c>
      <c r="B21" t="s">
        <v>476</v>
      </c>
      <c r="D21" t="s">
        <v>419</v>
      </c>
      <c r="E21" t="s">
        <v>420</v>
      </c>
      <c r="G21" t="s">
        <v>421</v>
      </c>
      <c r="N21" t="s">
        <v>424</v>
      </c>
      <c r="O21" t="s">
        <v>477</v>
      </c>
      <c r="P21" t="s">
        <v>425</v>
      </c>
      <c r="Q21" t="s">
        <v>144</v>
      </c>
      <c r="R21" t="s">
        <v>478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429</v>
      </c>
      <c r="AG21" t="s">
        <v>429</v>
      </c>
      <c r="AH21" t="s">
        <v>429</v>
      </c>
      <c r="AI21" t="s">
        <v>429</v>
      </c>
      <c r="AN21" t="s">
        <v>431</v>
      </c>
      <c r="AO21" t="s">
        <v>432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46042</v>
      </c>
      <c r="BE21">
        <v>46073</v>
      </c>
    </row>
    <row r="22" spans="1:57" ht="15.2" customHeight="1" x14ac:dyDescent="0.25">
      <c r="A22" t="s">
        <v>479</v>
      </c>
      <c r="B22" t="s">
        <v>480</v>
      </c>
      <c r="D22" t="s">
        <v>419</v>
      </c>
      <c r="E22" t="s">
        <v>420</v>
      </c>
      <c r="G22" t="s">
        <v>421</v>
      </c>
      <c r="I22" t="s">
        <v>422</v>
      </c>
      <c r="L22" t="s">
        <v>423</v>
      </c>
      <c r="N22" t="s">
        <v>424</v>
      </c>
      <c r="P22" t="s">
        <v>425</v>
      </c>
      <c r="Q22" t="s">
        <v>50</v>
      </c>
      <c r="R22" t="s">
        <v>426</v>
      </c>
      <c r="T22" t="s">
        <v>427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428</v>
      </c>
      <c r="AG22" t="s">
        <v>429</v>
      </c>
      <c r="AH22" t="s">
        <v>429</v>
      </c>
      <c r="AI22" t="s">
        <v>429</v>
      </c>
      <c r="AJ22" t="s">
        <v>430</v>
      </c>
      <c r="AK22" t="s">
        <v>430</v>
      </c>
      <c r="AN22" t="s">
        <v>431</v>
      </c>
      <c r="AO22" t="s">
        <v>432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46068</v>
      </c>
      <c r="BE22">
        <v>46071</v>
      </c>
    </row>
    <row r="23" spans="1:57" ht="15.2" customHeight="1" x14ac:dyDescent="0.25">
      <c r="A23" t="s">
        <v>318</v>
      </c>
      <c r="B23" t="s">
        <v>481</v>
      </c>
      <c r="D23" t="s">
        <v>482</v>
      </c>
      <c r="E23" t="s">
        <v>420</v>
      </c>
      <c r="G23" t="s">
        <v>421</v>
      </c>
      <c r="I23" t="s">
        <v>422</v>
      </c>
      <c r="L23" t="s">
        <v>423</v>
      </c>
      <c r="N23" t="s">
        <v>424</v>
      </c>
      <c r="O23" t="s">
        <v>483</v>
      </c>
      <c r="P23" t="s">
        <v>425</v>
      </c>
      <c r="Q23" t="s">
        <v>96</v>
      </c>
      <c r="R23" t="s">
        <v>484</v>
      </c>
      <c r="T23" t="s">
        <v>427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428</v>
      </c>
      <c r="AG23" t="s">
        <v>429</v>
      </c>
      <c r="AH23" t="s">
        <v>429</v>
      </c>
      <c r="AI23" t="s">
        <v>429</v>
      </c>
      <c r="AJ23" t="s">
        <v>474</v>
      </c>
      <c r="AK23" t="s">
        <v>485</v>
      </c>
      <c r="AN23" t="s">
        <v>431</v>
      </c>
      <c r="AO23" t="s">
        <v>432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46069</v>
      </c>
      <c r="BE23">
        <v>46073</v>
      </c>
    </row>
    <row r="24" spans="1:57" ht="15.2" customHeight="1" x14ac:dyDescent="0.25">
      <c r="A24" t="s">
        <v>486</v>
      </c>
      <c r="B24" t="s">
        <v>487</v>
      </c>
      <c r="C24" t="s">
        <v>488</v>
      </c>
      <c r="D24" t="s">
        <v>489</v>
      </c>
      <c r="E24" t="s">
        <v>420</v>
      </c>
      <c r="F24" t="s">
        <v>490</v>
      </c>
      <c r="G24" t="s">
        <v>469</v>
      </c>
      <c r="H24" t="s">
        <v>491</v>
      </c>
      <c r="I24" t="s">
        <v>471</v>
      </c>
      <c r="L24" t="s">
        <v>492</v>
      </c>
      <c r="N24" t="s">
        <v>424</v>
      </c>
      <c r="O24" t="s">
        <v>493</v>
      </c>
      <c r="P24" t="s">
        <v>440</v>
      </c>
      <c r="Q24" t="s">
        <v>456</v>
      </c>
      <c r="R24" t="s">
        <v>494</v>
      </c>
      <c r="S24" t="s">
        <v>471</v>
      </c>
      <c r="T24" t="s">
        <v>427</v>
      </c>
      <c r="W24">
        <v>46057.375</v>
      </c>
      <c r="X24">
        <v>46063.833333333336</v>
      </c>
      <c r="Y24">
        <v>0</v>
      </c>
      <c r="Z24">
        <v>66</v>
      </c>
      <c r="AA24">
        <v>0</v>
      </c>
      <c r="AB24">
        <v>0</v>
      </c>
      <c r="AC24">
        <v>0</v>
      </c>
      <c r="AD24">
        <v>0</v>
      </c>
      <c r="AE24">
        <v>0</v>
      </c>
      <c r="AF24" t="s">
        <v>428</v>
      </c>
      <c r="AG24" t="s">
        <v>429</v>
      </c>
      <c r="AH24" t="s">
        <v>429</v>
      </c>
      <c r="AI24" t="s">
        <v>429</v>
      </c>
      <c r="AK24" t="s">
        <v>474</v>
      </c>
      <c r="AN24" t="s">
        <v>431</v>
      </c>
      <c r="AO24" t="s">
        <v>432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46053</v>
      </c>
      <c r="BE24">
        <v>46056</v>
      </c>
    </row>
    <row r="25" spans="1:57" ht="15.2" customHeight="1" x14ac:dyDescent="0.25">
      <c r="A25" t="s">
        <v>207</v>
      </c>
      <c r="B25" t="s">
        <v>495</v>
      </c>
      <c r="D25" t="s">
        <v>489</v>
      </c>
      <c r="E25" t="s">
        <v>420</v>
      </c>
      <c r="G25" t="s">
        <v>469</v>
      </c>
      <c r="I25" t="s">
        <v>422</v>
      </c>
      <c r="L25" t="s">
        <v>423</v>
      </c>
      <c r="N25" t="s">
        <v>424</v>
      </c>
      <c r="P25" t="s">
        <v>440</v>
      </c>
      <c r="Q25" t="s">
        <v>53</v>
      </c>
      <c r="R25" t="s">
        <v>291</v>
      </c>
      <c r="T25" t="s">
        <v>427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428</v>
      </c>
      <c r="AG25" t="s">
        <v>429</v>
      </c>
      <c r="AH25" t="s">
        <v>429</v>
      </c>
      <c r="AI25" t="s">
        <v>429</v>
      </c>
      <c r="AK25" t="s">
        <v>485</v>
      </c>
      <c r="AN25" t="s">
        <v>431</v>
      </c>
      <c r="AO25" t="s">
        <v>432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46072</v>
      </c>
      <c r="BE25">
        <v>46073</v>
      </c>
    </row>
    <row r="26" spans="1:57" ht="15.2" customHeight="1" x14ac:dyDescent="0.25">
      <c r="A26" t="s">
        <v>207</v>
      </c>
      <c r="B26" t="s">
        <v>495</v>
      </c>
      <c r="D26" t="s">
        <v>489</v>
      </c>
      <c r="E26" t="s">
        <v>420</v>
      </c>
      <c r="G26" t="s">
        <v>469</v>
      </c>
      <c r="I26" t="s">
        <v>422</v>
      </c>
      <c r="L26" t="s">
        <v>423</v>
      </c>
      <c r="N26" t="s">
        <v>424</v>
      </c>
      <c r="O26" t="s">
        <v>496</v>
      </c>
      <c r="P26" t="s">
        <v>440</v>
      </c>
      <c r="Q26" t="s">
        <v>441</v>
      </c>
      <c r="R26" t="s">
        <v>497</v>
      </c>
      <c r="S26" t="s">
        <v>422</v>
      </c>
      <c r="T26" t="s">
        <v>427</v>
      </c>
      <c r="W26">
        <v>46050.541666666664</v>
      </c>
      <c r="X26">
        <v>46069.375</v>
      </c>
      <c r="Y26">
        <v>0</v>
      </c>
      <c r="Z26">
        <v>67</v>
      </c>
      <c r="AA26">
        <v>61.42</v>
      </c>
      <c r="AB26">
        <v>47.28</v>
      </c>
      <c r="AC26">
        <v>19</v>
      </c>
      <c r="AD26">
        <v>19</v>
      </c>
      <c r="AE26">
        <v>42.42</v>
      </c>
      <c r="AF26" t="s">
        <v>428</v>
      </c>
      <c r="AG26" t="s">
        <v>429</v>
      </c>
      <c r="AH26" t="s">
        <v>429</v>
      </c>
      <c r="AI26" t="s">
        <v>428</v>
      </c>
      <c r="AK26" t="s">
        <v>474</v>
      </c>
      <c r="AN26" t="s">
        <v>498</v>
      </c>
      <c r="AO26" t="s">
        <v>446</v>
      </c>
      <c r="AQ26">
        <v>960952.27</v>
      </c>
      <c r="AR26">
        <v>960952.27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308</v>
      </c>
      <c r="BB26">
        <v>0</v>
      </c>
      <c r="BC26">
        <v>0</v>
      </c>
      <c r="BD26">
        <v>46028</v>
      </c>
      <c r="BE26">
        <v>46032</v>
      </c>
    </row>
    <row r="27" spans="1:57" ht="15.2" customHeight="1" x14ac:dyDescent="0.25">
      <c r="A27" t="s">
        <v>499</v>
      </c>
      <c r="B27" t="s">
        <v>500</v>
      </c>
      <c r="C27" t="s">
        <v>500</v>
      </c>
      <c r="D27" t="s">
        <v>437</v>
      </c>
      <c r="E27" t="s">
        <v>420</v>
      </c>
      <c r="F27" t="s">
        <v>501</v>
      </c>
      <c r="G27" t="s">
        <v>502</v>
      </c>
      <c r="H27" t="s">
        <v>503</v>
      </c>
      <c r="I27" t="s">
        <v>422</v>
      </c>
      <c r="L27" t="s">
        <v>504</v>
      </c>
      <c r="N27" t="s">
        <v>424</v>
      </c>
      <c r="O27" t="s">
        <v>439</v>
      </c>
      <c r="P27" t="s">
        <v>440</v>
      </c>
      <c r="Q27" t="s">
        <v>505</v>
      </c>
      <c r="R27" t="s">
        <v>506</v>
      </c>
      <c r="S27" t="s">
        <v>422</v>
      </c>
      <c r="T27" t="s">
        <v>507</v>
      </c>
      <c r="W27">
        <v>46061.375</v>
      </c>
      <c r="X27">
        <v>46061.875</v>
      </c>
      <c r="Z27">
        <v>12</v>
      </c>
      <c r="AA27">
        <v>0</v>
      </c>
      <c r="AB27">
        <v>0</v>
      </c>
      <c r="AC27">
        <v>0</v>
      </c>
      <c r="AD27">
        <v>0</v>
      </c>
      <c r="AE27">
        <v>0</v>
      </c>
      <c r="AF27" t="s">
        <v>429</v>
      </c>
      <c r="AG27" t="s">
        <v>429</v>
      </c>
      <c r="AH27" t="s">
        <v>429</v>
      </c>
      <c r="AI27" t="s">
        <v>429</v>
      </c>
      <c r="AN27" t="s">
        <v>431</v>
      </c>
      <c r="AO27" t="s">
        <v>432</v>
      </c>
      <c r="AQ27">
        <v>0</v>
      </c>
      <c r="AR27">
        <v>0</v>
      </c>
      <c r="AS27">
        <v>105.83</v>
      </c>
      <c r="AT27">
        <v>730</v>
      </c>
      <c r="AU27">
        <v>83</v>
      </c>
      <c r="AV27">
        <v>105.83</v>
      </c>
      <c r="AW27">
        <v>730</v>
      </c>
      <c r="AX27">
        <v>83</v>
      </c>
      <c r="AY27">
        <v>0</v>
      </c>
      <c r="AZ27">
        <v>105.83</v>
      </c>
      <c r="BA27">
        <v>730</v>
      </c>
      <c r="BB27">
        <v>83</v>
      </c>
      <c r="BC27">
        <v>0</v>
      </c>
      <c r="BD27">
        <v>46061</v>
      </c>
      <c r="BE27">
        <v>46062</v>
      </c>
    </row>
    <row r="28" spans="1:57" ht="15.2" customHeight="1" x14ac:dyDescent="0.25">
      <c r="A28" t="s">
        <v>499</v>
      </c>
      <c r="B28" t="s">
        <v>500</v>
      </c>
      <c r="C28" t="s">
        <v>500</v>
      </c>
      <c r="D28" t="s">
        <v>437</v>
      </c>
      <c r="E28" t="s">
        <v>420</v>
      </c>
      <c r="F28" t="s">
        <v>501</v>
      </c>
      <c r="G28" t="s">
        <v>502</v>
      </c>
      <c r="I28" t="s">
        <v>422</v>
      </c>
      <c r="L28" t="s">
        <v>504</v>
      </c>
      <c r="N28" t="s">
        <v>424</v>
      </c>
      <c r="O28" t="s">
        <v>439</v>
      </c>
      <c r="P28" t="s">
        <v>440</v>
      </c>
      <c r="Q28" t="s">
        <v>505</v>
      </c>
      <c r="R28" t="s">
        <v>508</v>
      </c>
      <c r="S28" t="s">
        <v>422</v>
      </c>
      <c r="T28" t="s">
        <v>507</v>
      </c>
      <c r="W28">
        <v>46059.875</v>
      </c>
      <c r="X28">
        <v>46060.541666666664</v>
      </c>
      <c r="Z28">
        <v>16</v>
      </c>
      <c r="AA28">
        <v>0</v>
      </c>
      <c r="AB28">
        <v>0</v>
      </c>
      <c r="AC28">
        <v>0</v>
      </c>
      <c r="AD28">
        <v>0</v>
      </c>
      <c r="AE28">
        <v>0</v>
      </c>
      <c r="AF28" t="s">
        <v>429</v>
      </c>
      <c r="AG28" t="s">
        <v>429</v>
      </c>
      <c r="AH28" t="s">
        <v>429</v>
      </c>
      <c r="AI28" t="s">
        <v>429</v>
      </c>
      <c r="AN28" t="s">
        <v>431</v>
      </c>
      <c r="AO28" t="s">
        <v>432</v>
      </c>
      <c r="AQ28">
        <v>0</v>
      </c>
      <c r="AR28">
        <v>0</v>
      </c>
      <c r="AS28">
        <v>143.18180000000001</v>
      </c>
      <c r="AT28">
        <v>730</v>
      </c>
      <c r="AU28">
        <v>77</v>
      </c>
      <c r="AV28">
        <v>143.18180000000001</v>
      </c>
      <c r="AW28">
        <v>730</v>
      </c>
      <c r="AX28">
        <v>77</v>
      </c>
      <c r="AY28">
        <v>0</v>
      </c>
      <c r="AZ28">
        <v>143.18180000000001</v>
      </c>
      <c r="BA28">
        <v>730</v>
      </c>
      <c r="BB28">
        <v>77</v>
      </c>
      <c r="BC28">
        <v>0</v>
      </c>
      <c r="BD28">
        <v>46059</v>
      </c>
      <c r="BE28">
        <v>46061</v>
      </c>
    </row>
    <row r="29" spans="1:57" ht="15.2" customHeight="1" x14ac:dyDescent="0.25">
      <c r="A29" t="s">
        <v>509</v>
      </c>
      <c r="B29" t="s">
        <v>510</v>
      </c>
      <c r="C29" t="s">
        <v>500</v>
      </c>
      <c r="D29" t="s">
        <v>437</v>
      </c>
      <c r="E29" t="s">
        <v>420</v>
      </c>
      <c r="F29" t="s">
        <v>501</v>
      </c>
      <c r="G29" t="s">
        <v>502</v>
      </c>
      <c r="I29" t="s">
        <v>422</v>
      </c>
      <c r="L29" t="s">
        <v>504</v>
      </c>
      <c r="N29" t="s">
        <v>424</v>
      </c>
      <c r="O29" t="s">
        <v>454</v>
      </c>
      <c r="P29" t="s">
        <v>440</v>
      </c>
      <c r="Q29" t="s">
        <v>58</v>
      </c>
      <c r="R29" t="s">
        <v>511</v>
      </c>
      <c r="S29" t="s">
        <v>422</v>
      </c>
      <c r="T29" t="s">
        <v>507</v>
      </c>
      <c r="W29">
        <v>46053.833333333336</v>
      </c>
      <c r="X29">
        <v>46062.819444444445</v>
      </c>
      <c r="Y29">
        <v>45573</v>
      </c>
      <c r="Z29">
        <v>126.67</v>
      </c>
      <c r="AA29">
        <v>116.11</v>
      </c>
      <c r="AB29">
        <v>134.47</v>
      </c>
      <c r="AC29">
        <v>0</v>
      </c>
      <c r="AD29">
        <v>0</v>
      </c>
      <c r="AE29">
        <v>116.11</v>
      </c>
      <c r="AF29" t="s">
        <v>428</v>
      </c>
      <c r="AG29" t="s">
        <v>429</v>
      </c>
      <c r="AH29" t="s">
        <v>429</v>
      </c>
      <c r="AI29" t="s">
        <v>428</v>
      </c>
      <c r="AK29" t="s">
        <v>474</v>
      </c>
      <c r="AN29" t="s">
        <v>498</v>
      </c>
      <c r="AO29" t="s">
        <v>446</v>
      </c>
      <c r="AQ29">
        <v>3064337.87</v>
      </c>
      <c r="AR29">
        <v>3064337.87</v>
      </c>
      <c r="AS29">
        <v>138.84720000000002</v>
      </c>
      <c r="AT29">
        <v>161</v>
      </c>
      <c r="AU29">
        <v>0.3</v>
      </c>
      <c r="AV29">
        <v>138.84720000000002</v>
      </c>
      <c r="AW29">
        <v>161</v>
      </c>
      <c r="AX29">
        <v>0.3</v>
      </c>
      <c r="AY29">
        <v>0</v>
      </c>
      <c r="AZ29">
        <v>221</v>
      </c>
      <c r="BA29">
        <v>255</v>
      </c>
      <c r="BB29">
        <v>0.3</v>
      </c>
      <c r="BC29">
        <v>0</v>
      </c>
      <c r="BD29">
        <v>46053</v>
      </c>
      <c r="BE29">
        <v>46062</v>
      </c>
    </row>
    <row r="30" spans="1:57" ht="15.2" customHeight="1" x14ac:dyDescent="0.25">
      <c r="A30" t="s">
        <v>193</v>
      </c>
      <c r="B30" t="s">
        <v>512</v>
      </c>
      <c r="C30" t="s">
        <v>500</v>
      </c>
      <c r="D30" t="s">
        <v>437</v>
      </c>
      <c r="E30" t="s">
        <v>420</v>
      </c>
      <c r="F30" t="s">
        <v>501</v>
      </c>
      <c r="G30" t="s">
        <v>502</v>
      </c>
      <c r="H30" t="s">
        <v>503</v>
      </c>
      <c r="I30" t="s">
        <v>422</v>
      </c>
      <c r="L30" t="s">
        <v>504</v>
      </c>
      <c r="N30" t="s">
        <v>424</v>
      </c>
      <c r="O30" t="s">
        <v>513</v>
      </c>
      <c r="P30" t="s">
        <v>425</v>
      </c>
      <c r="Q30" t="s">
        <v>84</v>
      </c>
      <c r="R30" t="s">
        <v>127</v>
      </c>
      <c r="S30" t="s">
        <v>422</v>
      </c>
      <c r="T30" t="s">
        <v>507</v>
      </c>
      <c r="W30">
        <v>46062.208333333336</v>
      </c>
      <c r="X30">
        <v>46070.375</v>
      </c>
      <c r="Y30">
        <v>45678</v>
      </c>
      <c r="Z30">
        <v>196</v>
      </c>
      <c r="AA30">
        <v>179.67000000000002</v>
      </c>
      <c r="AB30">
        <v>141</v>
      </c>
      <c r="AC30">
        <v>0</v>
      </c>
      <c r="AD30">
        <v>5.5</v>
      </c>
      <c r="AE30">
        <v>174.17000000000002</v>
      </c>
      <c r="AF30" t="s">
        <v>428</v>
      </c>
      <c r="AG30" t="s">
        <v>429</v>
      </c>
      <c r="AH30" t="s">
        <v>429</v>
      </c>
      <c r="AI30" t="s">
        <v>428</v>
      </c>
      <c r="AJ30" t="s">
        <v>474</v>
      </c>
      <c r="AK30" t="s">
        <v>474</v>
      </c>
      <c r="AN30" t="s">
        <v>430</v>
      </c>
      <c r="AO30" t="s">
        <v>446</v>
      </c>
      <c r="AQ30">
        <v>4454857.0999999996</v>
      </c>
      <c r="AR30">
        <v>4454857.0999999996</v>
      </c>
      <c r="AS30">
        <v>65.7</v>
      </c>
      <c r="AT30">
        <v>165</v>
      </c>
      <c r="AU30">
        <v>54</v>
      </c>
      <c r="AV30">
        <v>65.653500000000008</v>
      </c>
      <c r="AW30">
        <v>165</v>
      </c>
      <c r="AX30">
        <v>54</v>
      </c>
      <c r="AY30">
        <v>0</v>
      </c>
      <c r="AZ30">
        <v>138</v>
      </c>
      <c r="BA30">
        <v>165</v>
      </c>
      <c r="BB30">
        <v>20</v>
      </c>
      <c r="BC30">
        <v>0</v>
      </c>
      <c r="BD30">
        <v>46065</v>
      </c>
      <c r="BE30">
        <v>46072</v>
      </c>
    </row>
    <row r="31" spans="1:57" ht="15.2" customHeight="1" x14ac:dyDescent="0.25">
      <c r="A31" t="s">
        <v>193</v>
      </c>
      <c r="B31" t="s">
        <v>512</v>
      </c>
      <c r="C31" t="s">
        <v>500</v>
      </c>
      <c r="D31" t="s">
        <v>437</v>
      </c>
      <c r="E31" t="s">
        <v>420</v>
      </c>
      <c r="F31" t="s">
        <v>501</v>
      </c>
      <c r="G31" t="s">
        <v>502</v>
      </c>
      <c r="H31" t="s">
        <v>503</v>
      </c>
      <c r="I31" t="s">
        <v>422</v>
      </c>
      <c r="L31" t="s">
        <v>504</v>
      </c>
      <c r="N31" t="s">
        <v>424</v>
      </c>
      <c r="O31" t="s">
        <v>439</v>
      </c>
      <c r="P31" t="s">
        <v>440</v>
      </c>
      <c r="Q31" t="s">
        <v>505</v>
      </c>
      <c r="R31" t="s">
        <v>514</v>
      </c>
      <c r="T31" t="s">
        <v>507</v>
      </c>
      <c r="W31">
        <v>46054.833333333336</v>
      </c>
      <c r="X31">
        <v>46055.333333333336</v>
      </c>
      <c r="Y31">
        <v>0</v>
      </c>
      <c r="Z31">
        <v>12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429</v>
      </c>
      <c r="AG31" t="s">
        <v>429</v>
      </c>
      <c r="AH31" t="s">
        <v>429</v>
      </c>
      <c r="AI31" t="s">
        <v>429</v>
      </c>
      <c r="AN31" t="s">
        <v>431</v>
      </c>
      <c r="AO31" t="s">
        <v>432</v>
      </c>
      <c r="AQ31">
        <v>0</v>
      </c>
      <c r="AR31">
        <v>0</v>
      </c>
      <c r="AS31">
        <v>138.44329999999999</v>
      </c>
      <c r="AT31">
        <v>165</v>
      </c>
      <c r="AU31">
        <v>3</v>
      </c>
      <c r="AV31">
        <v>138.44329999999999</v>
      </c>
      <c r="AW31">
        <v>165</v>
      </c>
      <c r="AX31">
        <v>3</v>
      </c>
      <c r="AY31">
        <v>0</v>
      </c>
      <c r="AZ31">
        <v>138.44329999999999</v>
      </c>
      <c r="BA31">
        <v>165</v>
      </c>
      <c r="BB31">
        <v>3</v>
      </c>
      <c r="BC31">
        <v>0</v>
      </c>
      <c r="BD31">
        <v>46054</v>
      </c>
      <c r="BE31">
        <v>46055</v>
      </c>
    </row>
    <row r="32" spans="1:57" ht="15.2" customHeight="1" x14ac:dyDescent="0.25">
      <c r="A32" t="s">
        <v>193</v>
      </c>
      <c r="B32" t="s">
        <v>512</v>
      </c>
      <c r="C32" t="s">
        <v>500</v>
      </c>
      <c r="D32" t="s">
        <v>437</v>
      </c>
      <c r="E32" t="s">
        <v>420</v>
      </c>
      <c r="F32" t="s">
        <v>501</v>
      </c>
      <c r="G32" t="s">
        <v>502</v>
      </c>
      <c r="I32" t="s">
        <v>422</v>
      </c>
      <c r="L32" t="s">
        <v>504</v>
      </c>
      <c r="N32" t="s">
        <v>424</v>
      </c>
      <c r="O32" t="s">
        <v>439</v>
      </c>
      <c r="P32" t="s">
        <v>440</v>
      </c>
      <c r="Q32" t="s">
        <v>456</v>
      </c>
      <c r="R32" t="s">
        <v>515</v>
      </c>
      <c r="S32" t="s">
        <v>422</v>
      </c>
      <c r="T32" t="s">
        <v>507</v>
      </c>
      <c r="W32">
        <v>46060.875</v>
      </c>
      <c r="X32">
        <v>46061.375</v>
      </c>
      <c r="Y32">
        <v>0</v>
      </c>
      <c r="Z32">
        <v>12</v>
      </c>
      <c r="AA32">
        <v>0</v>
      </c>
      <c r="AB32">
        <v>0</v>
      </c>
      <c r="AC32">
        <v>0</v>
      </c>
      <c r="AD32">
        <v>0</v>
      </c>
      <c r="AE32">
        <v>0</v>
      </c>
      <c r="AF32" t="s">
        <v>429</v>
      </c>
      <c r="AG32" t="s">
        <v>429</v>
      </c>
      <c r="AH32" t="s">
        <v>429</v>
      </c>
      <c r="AI32" t="s">
        <v>429</v>
      </c>
      <c r="AN32" t="s">
        <v>431</v>
      </c>
      <c r="AO32" t="s">
        <v>432</v>
      </c>
      <c r="AQ32">
        <v>0</v>
      </c>
      <c r="AR32">
        <v>0</v>
      </c>
      <c r="AS32">
        <v>65.653500000000008</v>
      </c>
      <c r="AT32">
        <v>165</v>
      </c>
      <c r="AU32">
        <v>54</v>
      </c>
      <c r="AV32">
        <v>65.653500000000008</v>
      </c>
      <c r="AW32">
        <v>165</v>
      </c>
      <c r="AX32">
        <v>54</v>
      </c>
      <c r="AY32">
        <v>0</v>
      </c>
      <c r="AZ32">
        <v>65.653500000000008</v>
      </c>
      <c r="BA32">
        <v>165</v>
      </c>
      <c r="BB32">
        <v>54</v>
      </c>
      <c r="BC32">
        <v>0</v>
      </c>
      <c r="BD32">
        <v>46060</v>
      </c>
      <c r="BE32">
        <v>46062</v>
      </c>
    </row>
    <row r="33" spans="1:57" ht="15.2" customHeight="1" x14ac:dyDescent="0.25">
      <c r="A33" t="s">
        <v>360</v>
      </c>
      <c r="B33" t="s">
        <v>516</v>
      </c>
      <c r="C33" t="s">
        <v>517</v>
      </c>
      <c r="D33" t="s">
        <v>518</v>
      </c>
      <c r="E33" t="s">
        <v>420</v>
      </c>
      <c r="F33" t="s">
        <v>519</v>
      </c>
      <c r="G33" t="s">
        <v>421</v>
      </c>
      <c r="H33" t="s">
        <v>503</v>
      </c>
      <c r="I33" t="s">
        <v>422</v>
      </c>
      <c r="L33" t="s">
        <v>492</v>
      </c>
      <c r="N33" t="s">
        <v>520</v>
      </c>
      <c r="O33" t="s">
        <v>521</v>
      </c>
      <c r="P33" t="s">
        <v>440</v>
      </c>
      <c r="Q33" t="s">
        <v>51</v>
      </c>
      <c r="R33" t="s">
        <v>522</v>
      </c>
      <c r="T33" t="s">
        <v>507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428</v>
      </c>
      <c r="AG33" t="s">
        <v>429</v>
      </c>
      <c r="AH33" t="s">
        <v>428</v>
      </c>
      <c r="AI33" t="s">
        <v>429</v>
      </c>
      <c r="AK33" t="s">
        <v>430</v>
      </c>
      <c r="AM33" t="s">
        <v>430</v>
      </c>
      <c r="AN33" t="s">
        <v>431</v>
      </c>
      <c r="AO33" t="s">
        <v>432</v>
      </c>
      <c r="AQ33">
        <v>0</v>
      </c>
      <c r="AR33">
        <v>0</v>
      </c>
      <c r="AS33">
        <v>11.763500000000001</v>
      </c>
      <c r="AT33">
        <v>473</v>
      </c>
      <c r="AU33">
        <v>97</v>
      </c>
      <c r="AV33">
        <v>11.763500000000001</v>
      </c>
      <c r="AW33">
        <v>473</v>
      </c>
      <c r="AX33">
        <v>97</v>
      </c>
      <c r="AY33">
        <v>0</v>
      </c>
      <c r="AZ33">
        <v>11.763500000000001</v>
      </c>
      <c r="BA33">
        <v>473</v>
      </c>
      <c r="BB33">
        <v>97</v>
      </c>
      <c r="BC33">
        <v>0</v>
      </c>
      <c r="BD33">
        <v>46070</v>
      </c>
      <c r="BE33">
        <v>46078</v>
      </c>
    </row>
    <row r="34" spans="1:57" ht="15.2" customHeight="1" x14ac:dyDescent="0.25">
      <c r="A34" t="s">
        <v>523</v>
      </c>
      <c r="B34" t="s">
        <v>524</v>
      </c>
      <c r="D34" t="s">
        <v>525</v>
      </c>
      <c r="E34" t="s">
        <v>420</v>
      </c>
      <c r="G34" t="s">
        <v>421</v>
      </c>
      <c r="I34" t="s">
        <v>422</v>
      </c>
      <c r="L34" t="s">
        <v>526</v>
      </c>
      <c r="N34" t="s">
        <v>520</v>
      </c>
      <c r="O34" t="s">
        <v>527</v>
      </c>
      <c r="P34" t="s">
        <v>440</v>
      </c>
      <c r="Q34" t="s">
        <v>53</v>
      </c>
      <c r="R34" t="s">
        <v>528</v>
      </c>
      <c r="S34" t="s">
        <v>422</v>
      </c>
      <c r="T34" t="s">
        <v>427</v>
      </c>
      <c r="W34">
        <v>46058.75</v>
      </c>
      <c r="X34">
        <v>46059.791666666664</v>
      </c>
      <c r="Y34">
        <v>45742</v>
      </c>
      <c r="Z34">
        <v>25</v>
      </c>
      <c r="AA34">
        <v>23.330000000000002</v>
      </c>
      <c r="AB34">
        <v>23.21</v>
      </c>
      <c r="AC34">
        <v>0</v>
      </c>
      <c r="AD34">
        <v>0</v>
      </c>
      <c r="AE34">
        <v>23.330000000000002</v>
      </c>
      <c r="AF34" t="s">
        <v>428</v>
      </c>
      <c r="AG34" t="s">
        <v>429</v>
      </c>
      <c r="AH34" t="s">
        <v>429</v>
      </c>
      <c r="AI34" t="s">
        <v>428</v>
      </c>
      <c r="AK34" t="s">
        <v>485</v>
      </c>
      <c r="AN34" t="s">
        <v>430</v>
      </c>
      <c r="AO34" t="s">
        <v>446</v>
      </c>
      <c r="AQ34">
        <v>675117.83</v>
      </c>
      <c r="AR34">
        <v>675117.83</v>
      </c>
      <c r="AS34">
        <v>0</v>
      </c>
      <c r="AT34">
        <v>120</v>
      </c>
      <c r="AU34">
        <v>100</v>
      </c>
      <c r="AV34">
        <v>0</v>
      </c>
      <c r="AW34">
        <v>120</v>
      </c>
      <c r="AX34">
        <v>100</v>
      </c>
      <c r="AY34">
        <v>0</v>
      </c>
      <c r="AZ34">
        <v>0</v>
      </c>
      <c r="BA34">
        <v>120</v>
      </c>
      <c r="BB34">
        <v>100</v>
      </c>
      <c r="BC34">
        <v>0</v>
      </c>
      <c r="BD34">
        <v>46056</v>
      </c>
      <c r="BE34">
        <v>46063</v>
      </c>
    </row>
    <row r="35" spans="1:57" ht="15.2" customHeight="1" x14ac:dyDescent="0.25">
      <c r="A35" t="s">
        <v>529</v>
      </c>
      <c r="B35" t="s">
        <v>530</v>
      </c>
      <c r="D35" t="s">
        <v>489</v>
      </c>
      <c r="E35" t="s">
        <v>420</v>
      </c>
      <c r="G35" t="s">
        <v>469</v>
      </c>
      <c r="I35" t="s">
        <v>422</v>
      </c>
      <c r="L35" t="s">
        <v>423</v>
      </c>
      <c r="N35" t="s">
        <v>424</v>
      </c>
      <c r="O35" t="s">
        <v>531</v>
      </c>
      <c r="P35" t="s">
        <v>440</v>
      </c>
      <c r="Q35" t="s">
        <v>53</v>
      </c>
      <c r="R35" t="s">
        <v>532</v>
      </c>
      <c r="S35" t="s">
        <v>422</v>
      </c>
      <c r="T35" t="s">
        <v>427</v>
      </c>
      <c r="W35">
        <v>46063.75</v>
      </c>
      <c r="X35">
        <v>46066.125</v>
      </c>
      <c r="Y35">
        <v>46052</v>
      </c>
      <c r="Z35">
        <v>57</v>
      </c>
      <c r="AA35">
        <v>52.25</v>
      </c>
      <c r="AB35">
        <v>68.45</v>
      </c>
      <c r="AC35">
        <v>0</v>
      </c>
      <c r="AD35">
        <v>0</v>
      </c>
      <c r="AE35">
        <v>52.25</v>
      </c>
      <c r="AF35" t="s">
        <v>428</v>
      </c>
      <c r="AG35" t="s">
        <v>429</v>
      </c>
      <c r="AH35" t="s">
        <v>428</v>
      </c>
      <c r="AI35" t="s">
        <v>428</v>
      </c>
      <c r="AK35" t="s">
        <v>474</v>
      </c>
      <c r="AM35" t="s">
        <v>430</v>
      </c>
      <c r="AN35" t="s">
        <v>430</v>
      </c>
      <c r="AO35" t="s">
        <v>446</v>
      </c>
      <c r="AQ35">
        <v>1345608.82</v>
      </c>
      <c r="AR35">
        <v>1345608.82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46063</v>
      </c>
      <c r="BE35">
        <v>46065</v>
      </c>
    </row>
    <row r="36" spans="1:57" ht="15.2" customHeight="1" x14ac:dyDescent="0.25">
      <c r="A36" t="s">
        <v>529</v>
      </c>
      <c r="B36" t="s">
        <v>530</v>
      </c>
      <c r="D36" t="s">
        <v>489</v>
      </c>
      <c r="E36" t="s">
        <v>420</v>
      </c>
      <c r="G36" t="s">
        <v>469</v>
      </c>
      <c r="I36" t="s">
        <v>422</v>
      </c>
      <c r="L36" t="s">
        <v>423</v>
      </c>
      <c r="N36" t="s">
        <v>424</v>
      </c>
      <c r="O36" t="s">
        <v>496</v>
      </c>
      <c r="P36" t="s">
        <v>440</v>
      </c>
      <c r="Q36" t="s">
        <v>53</v>
      </c>
      <c r="R36" t="s">
        <v>533</v>
      </c>
      <c r="S36" t="s">
        <v>422</v>
      </c>
      <c r="T36" t="s">
        <v>427</v>
      </c>
      <c r="W36">
        <v>46051.5</v>
      </c>
      <c r="X36">
        <v>46054.708333333336</v>
      </c>
      <c r="Y36">
        <v>46052</v>
      </c>
      <c r="Z36">
        <v>77</v>
      </c>
      <c r="AA36">
        <v>70.58</v>
      </c>
      <c r="AB36">
        <v>45.33</v>
      </c>
      <c r="AC36">
        <v>23.75</v>
      </c>
      <c r="AD36">
        <v>32.92</v>
      </c>
      <c r="AE36">
        <v>37.660000000000004</v>
      </c>
      <c r="AF36" t="s">
        <v>428</v>
      </c>
      <c r="AG36" t="s">
        <v>429</v>
      </c>
      <c r="AH36" t="s">
        <v>429</v>
      </c>
      <c r="AI36" t="s">
        <v>428</v>
      </c>
      <c r="AK36" t="s">
        <v>474</v>
      </c>
      <c r="AN36" t="s">
        <v>498</v>
      </c>
      <c r="AO36" t="s">
        <v>446</v>
      </c>
      <c r="AQ36">
        <v>986075.88</v>
      </c>
      <c r="AR36">
        <v>986075.88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46051</v>
      </c>
      <c r="BE36">
        <v>46052</v>
      </c>
    </row>
    <row r="37" spans="1:57" ht="15.2" customHeight="1" x14ac:dyDescent="0.25">
      <c r="A37" t="s">
        <v>534</v>
      </c>
      <c r="B37" t="s">
        <v>535</v>
      </c>
      <c r="C37" t="s">
        <v>536</v>
      </c>
      <c r="D37" t="s">
        <v>518</v>
      </c>
      <c r="E37" t="s">
        <v>420</v>
      </c>
      <c r="F37" t="s">
        <v>519</v>
      </c>
      <c r="G37" t="s">
        <v>421</v>
      </c>
      <c r="I37" t="s">
        <v>422</v>
      </c>
      <c r="L37" t="s">
        <v>492</v>
      </c>
      <c r="N37" t="s">
        <v>520</v>
      </c>
      <c r="O37" t="s">
        <v>521</v>
      </c>
      <c r="P37" t="s">
        <v>440</v>
      </c>
      <c r="Q37" t="s">
        <v>537</v>
      </c>
      <c r="R37" t="s">
        <v>538</v>
      </c>
      <c r="S37" t="s">
        <v>422</v>
      </c>
      <c r="T37" t="s">
        <v>507</v>
      </c>
      <c r="W37">
        <v>46067.958333333336</v>
      </c>
      <c r="X37">
        <v>46070.208333333336</v>
      </c>
      <c r="Y37">
        <v>43921</v>
      </c>
      <c r="Z37">
        <v>54</v>
      </c>
      <c r="AA37">
        <v>50.4</v>
      </c>
      <c r="AB37">
        <v>23.26</v>
      </c>
      <c r="AC37">
        <v>0</v>
      </c>
      <c r="AD37">
        <v>0</v>
      </c>
      <c r="AE37">
        <v>50.4</v>
      </c>
      <c r="AF37" t="s">
        <v>428</v>
      </c>
      <c r="AG37" t="s">
        <v>429</v>
      </c>
      <c r="AH37" t="s">
        <v>429</v>
      </c>
      <c r="AI37" t="s">
        <v>428</v>
      </c>
      <c r="AK37" t="s">
        <v>474</v>
      </c>
      <c r="AN37" t="s">
        <v>430</v>
      </c>
      <c r="AO37" t="s">
        <v>446</v>
      </c>
      <c r="AQ37">
        <v>672174.13</v>
      </c>
      <c r="AR37">
        <v>672174.13</v>
      </c>
      <c r="AS37">
        <v>19.688800000000001</v>
      </c>
      <c r="AT37">
        <v>25</v>
      </c>
      <c r="AU37">
        <v>5</v>
      </c>
      <c r="AV37">
        <v>19.688800000000001</v>
      </c>
      <c r="AW37">
        <v>25</v>
      </c>
      <c r="AX37">
        <v>5</v>
      </c>
      <c r="AY37">
        <v>0</v>
      </c>
      <c r="AZ37">
        <v>19.688800000000001</v>
      </c>
      <c r="BA37">
        <v>25</v>
      </c>
      <c r="BB37">
        <v>5</v>
      </c>
      <c r="BC37">
        <v>0</v>
      </c>
      <c r="BD37">
        <v>46066</v>
      </c>
      <c r="BE37">
        <v>46077</v>
      </c>
    </row>
    <row r="38" spans="1:57" ht="15.2" customHeight="1" x14ac:dyDescent="0.25">
      <c r="A38" t="s">
        <v>363</v>
      </c>
      <c r="B38" t="s">
        <v>539</v>
      </c>
      <c r="C38" t="s">
        <v>540</v>
      </c>
      <c r="D38" t="s">
        <v>467</v>
      </c>
      <c r="E38" t="s">
        <v>420</v>
      </c>
      <c r="F38" t="s">
        <v>468</v>
      </c>
      <c r="G38" t="s">
        <v>469</v>
      </c>
      <c r="I38" t="s">
        <v>541</v>
      </c>
      <c r="L38" t="s">
        <v>472</v>
      </c>
      <c r="N38" t="s">
        <v>424</v>
      </c>
      <c r="P38" t="s">
        <v>425</v>
      </c>
      <c r="Q38" t="s">
        <v>48</v>
      </c>
      <c r="R38" t="s">
        <v>542</v>
      </c>
      <c r="T38" t="s">
        <v>507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428</v>
      </c>
      <c r="AG38" t="s">
        <v>429</v>
      </c>
      <c r="AH38" t="s">
        <v>429</v>
      </c>
      <c r="AI38" t="s">
        <v>429</v>
      </c>
      <c r="AJ38" t="s">
        <v>474</v>
      </c>
      <c r="AK38" t="s">
        <v>474</v>
      </c>
      <c r="AN38" t="s">
        <v>431</v>
      </c>
      <c r="AO38" t="s">
        <v>432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200.70000000000002</v>
      </c>
      <c r="BA38">
        <v>251</v>
      </c>
      <c r="BB38">
        <v>1</v>
      </c>
      <c r="BC38">
        <v>0</v>
      </c>
      <c r="BD38">
        <v>46047</v>
      </c>
      <c r="BE38">
        <v>46055</v>
      </c>
    </row>
    <row r="39" spans="1:57" ht="15.2" customHeight="1" x14ac:dyDescent="0.25">
      <c r="A39" t="s">
        <v>239</v>
      </c>
      <c r="B39" t="s">
        <v>543</v>
      </c>
      <c r="C39" t="s">
        <v>517</v>
      </c>
      <c r="D39" t="s">
        <v>518</v>
      </c>
      <c r="E39" t="s">
        <v>420</v>
      </c>
      <c r="F39" t="s">
        <v>519</v>
      </c>
      <c r="G39" t="s">
        <v>421</v>
      </c>
      <c r="H39" t="s">
        <v>544</v>
      </c>
      <c r="I39" t="s">
        <v>422</v>
      </c>
      <c r="L39" t="s">
        <v>492</v>
      </c>
      <c r="N39" t="s">
        <v>520</v>
      </c>
      <c r="O39" t="s">
        <v>517</v>
      </c>
      <c r="P39" t="s">
        <v>425</v>
      </c>
      <c r="Q39" t="s">
        <v>89</v>
      </c>
      <c r="R39" t="s">
        <v>545</v>
      </c>
      <c r="S39" t="s">
        <v>422</v>
      </c>
      <c r="T39" t="s">
        <v>507</v>
      </c>
      <c r="W39">
        <v>46066.875</v>
      </c>
      <c r="X39">
        <v>0</v>
      </c>
      <c r="Y39">
        <v>43717</v>
      </c>
      <c r="Z39">
        <v>0</v>
      </c>
      <c r="AA39">
        <v>0</v>
      </c>
      <c r="AB39">
        <v>120.60000000000001</v>
      </c>
      <c r="AC39">
        <v>0</v>
      </c>
      <c r="AD39">
        <v>0</v>
      </c>
      <c r="AE39">
        <v>0</v>
      </c>
      <c r="AF39" t="s">
        <v>428</v>
      </c>
      <c r="AG39" t="s">
        <v>429</v>
      </c>
      <c r="AH39" t="s">
        <v>429</v>
      </c>
      <c r="AI39" t="s">
        <v>428</v>
      </c>
      <c r="AJ39" t="s">
        <v>474</v>
      </c>
      <c r="AK39" t="s">
        <v>474</v>
      </c>
      <c r="AN39" t="s">
        <v>430</v>
      </c>
      <c r="AO39" t="s">
        <v>446</v>
      </c>
      <c r="AQ39">
        <v>3503052.14</v>
      </c>
      <c r="AR39">
        <v>3503052.14</v>
      </c>
      <c r="AS39">
        <v>22.706300000000002</v>
      </c>
      <c r="AT39">
        <v>330</v>
      </c>
      <c r="AU39">
        <v>91.7</v>
      </c>
      <c r="AV39">
        <v>22.362300000000001</v>
      </c>
      <c r="AW39">
        <v>325</v>
      </c>
      <c r="AX39">
        <v>91.7</v>
      </c>
      <c r="AY39">
        <v>0</v>
      </c>
      <c r="AZ39">
        <v>50.4</v>
      </c>
      <c r="BA39">
        <v>810.4</v>
      </c>
      <c r="BB39">
        <v>92.5</v>
      </c>
      <c r="BC39">
        <v>0</v>
      </c>
      <c r="BD39">
        <v>46074</v>
      </c>
      <c r="BE39">
        <v>46087</v>
      </c>
    </row>
    <row r="40" spans="1:57" ht="15.2" customHeight="1" x14ac:dyDescent="0.25">
      <c r="A40" t="s">
        <v>546</v>
      </c>
      <c r="B40" t="s">
        <v>547</v>
      </c>
      <c r="C40" t="s">
        <v>548</v>
      </c>
      <c r="D40" t="s">
        <v>518</v>
      </c>
      <c r="E40" t="s">
        <v>420</v>
      </c>
      <c r="F40" t="s">
        <v>519</v>
      </c>
      <c r="G40" t="s">
        <v>421</v>
      </c>
      <c r="H40" t="s">
        <v>544</v>
      </c>
      <c r="I40" t="s">
        <v>422</v>
      </c>
      <c r="L40" t="s">
        <v>492</v>
      </c>
      <c r="N40" t="s">
        <v>424</v>
      </c>
      <c r="P40" t="s">
        <v>440</v>
      </c>
      <c r="Q40" t="s">
        <v>51</v>
      </c>
      <c r="R40" t="s">
        <v>522</v>
      </c>
      <c r="T40" t="s">
        <v>507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428</v>
      </c>
      <c r="AG40" t="s">
        <v>429</v>
      </c>
      <c r="AH40" t="s">
        <v>428</v>
      </c>
      <c r="AI40" t="s">
        <v>429</v>
      </c>
      <c r="AK40" t="s">
        <v>430</v>
      </c>
      <c r="AM40" t="s">
        <v>430</v>
      </c>
      <c r="AN40" t="s">
        <v>431</v>
      </c>
      <c r="AO40" t="s">
        <v>432</v>
      </c>
      <c r="AQ40">
        <v>0</v>
      </c>
      <c r="AR40">
        <v>0</v>
      </c>
      <c r="AS40">
        <v>3.5150000000000001</v>
      </c>
      <c r="AT40">
        <v>106</v>
      </c>
      <c r="AU40">
        <v>96</v>
      </c>
      <c r="AV40">
        <v>3.5150000000000001</v>
      </c>
      <c r="AW40">
        <v>106</v>
      </c>
      <c r="AX40">
        <v>96</v>
      </c>
      <c r="AY40">
        <v>0</v>
      </c>
      <c r="AZ40">
        <v>3.5150000000000001</v>
      </c>
      <c r="BA40">
        <v>106</v>
      </c>
      <c r="BB40">
        <v>96</v>
      </c>
      <c r="BC40">
        <v>0</v>
      </c>
      <c r="BD40">
        <v>46050</v>
      </c>
      <c r="BE40">
        <v>46078</v>
      </c>
    </row>
    <row r="41" spans="1:57" ht="15.2" customHeight="1" x14ac:dyDescent="0.25">
      <c r="A41" t="s">
        <v>549</v>
      </c>
      <c r="B41" t="s">
        <v>550</v>
      </c>
      <c r="D41" t="s">
        <v>419</v>
      </c>
      <c r="E41" t="s">
        <v>420</v>
      </c>
      <c r="G41" t="s">
        <v>421</v>
      </c>
      <c r="I41" t="s">
        <v>422</v>
      </c>
      <c r="L41" t="s">
        <v>423</v>
      </c>
      <c r="N41" t="s">
        <v>424</v>
      </c>
      <c r="P41" t="s">
        <v>425</v>
      </c>
      <c r="Q41" t="s">
        <v>50</v>
      </c>
      <c r="R41" t="s">
        <v>551</v>
      </c>
      <c r="T41" t="s">
        <v>427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428</v>
      </c>
      <c r="AG41" t="s">
        <v>429</v>
      </c>
      <c r="AH41" t="s">
        <v>429</v>
      </c>
      <c r="AI41" t="s">
        <v>429</v>
      </c>
      <c r="AJ41" t="s">
        <v>430</v>
      </c>
      <c r="AK41" t="s">
        <v>430</v>
      </c>
      <c r="AN41" t="s">
        <v>431</v>
      </c>
      <c r="AO41" t="s">
        <v>432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46067</v>
      </c>
      <c r="BE41">
        <v>46069</v>
      </c>
    </row>
    <row r="42" spans="1:57" ht="15.2" customHeight="1" x14ac:dyDescent="0.25">
      <c r="A42" t="s">
        <v>552</v>
      </c>
      <c r="B42" t="s">
        <v>553</v>
      </c>
      <c r="C42" t="s">
        <v>554</v>
      </c>
      <c r="D42" t="s">
        <v>518</v>
      </c>
      <c r="E42" t="s">
        <v>420</v>
      </c>
      <c r="F42" t="s">
        <v>519</v>
      </c>
      <c r="G42" t="s">
        <v>421</v>
      </c>
      <c r="I42" t="s">
        <v>541</v>
      </c>
      <c r="L42" t="s">
        <v>492</v>
      </c>
      <c r="N42" t="s">
        <v>555</v>
      </c>
      <c r="O42" t="s">
        <v>556</v>
      </c>
      <c r="P42" t="s">
        <v>425</v>
      </c>
      <c r="Q42" t="s">
        <v>557</v>
      </c>
      <c r="R42" t="s">
        <v>558</v>
      </c>
      <c r="S42" t="s">
        <v>541</v>
      </c>
      <c r="T42" t="s">
        <v>507</v>
      </c>
      <c r="W42">
        <v>46070.375</v>
      </c>
      <c r="X42">
        <v>0</v>
      </c>
      <c r="Y42">
        <v>36161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428</v>
      </c>
      <c r="AG42" t="s">
        <v>429</v>
      </c>
      <c r="AH42" t="s">
        <v>429</v>
      </c>
      <c r="AI42" t="s">
        <v>429</v>
      </c>
      <c r="AJ42" t="s">
        <v>430</v>
      </c>
      <c r="AK42" t="s">
        <v>474</v>
      </c>
      <c r="AN42" t="s">
        <v>431</v>
      </c>
      <c r="AO42" t="s">
        <v>432</v>
      </c>
      <c r="AQ42">
        <v>0</v>
      </c>
      <c r="AR42">
        <v>0</v>
      </c>
      <c r="AS42">
        <v>0.2984</v>
      </c>
      <c r="AT42">
        <v>1</v>
      </c>
      <c r="AU42">
        <v>64</v>
      </c>
      <c r="AV42">
        <v>0.2984</v>
      </c>
      <c r="AW42">
        <v>1</v>
      </c>
      <c r="AX42">
        <v>64</v>
      </c>
      <c r="AY42">
        <v>0</v>
      </c>
      <c r="AZ42">
        <v>0.2984</v>
      </c>
      <c r="BA42">
        <v>1</v>
      </c>
      <c r="BB42">
        <v>64</v>
      </c>
      <c r="BC42">
        <v>0</v>
      </c>
      <c r="BD42">
        <v>46070</v>
      </c>
      <c r="BE42">
        <v>46071</v>
      </c>
    </row>
    <row r="43" spans="1:57" ht="15.2" customHeight="1" x14ac:dyDescent="0.25">
      <c r="A43" t="s">
        <v>176</v>
      </c>
      <c r="B43" t="s">
        <v>559</v>
      </c>
      <c r="C43" t="s">
        <v>560</v>
      </c>
      <c r="D43" t="s">
        <v>467</v>
      </c>
      <c r="E43" t="s">
        <v>420</v>
      </c>
      <c r="F43" t="s">
        <v>468</v>
      </c>
      <c r="G43" t="s">
        <v>469</v>
      </c>
      <c r="H43" t="s">
        <v>561</v>
      </c>
      <c r="I43" t="s">
        <v>541</v>
      </c>
      <c r="L43" t="s">
        <v>472</v>
      </c>
      <c r="N43" t="s">
        <v>424</v>
      </c>
      <c r="O43" t="s">
        <v>531</v>
      </c>
      <c r="P43" t="s">
        <v>440</v>
      </c>
      <c r="Q43" t="s">
        <v>49</v>
      </c>
      <c r="R43" t="s">
        <v>562</v>
      </c>
      <c r="S43" t="s">
        <v>541</v>
      </c>
      <c r="T43" t="s">
        <v>507</v>
      </c>
      <c r="W43">
        <v>46050.6875</v>
      </c>
      <c r="X43">
        <v>46054.041666666664</v>
      </c>
      <c r="Y43">
        <v>44662</v>
      </c>
      <c r="Z43">
        <v>80.5</v>
      </c>
      <c r="AA43">
        <v>73.790000000000006</v>
      </c>
      <c r="AB43">
        <v>69.510000000000005</v>
      </c>
      <c r="AC43">
        <v>41.5</v>
      </c>
      <c r="AD43">
        <v>44.33</v>
      </c>
      <c r="AE43">
        <v>29.46</v>
      </c>
      <c r="AF43" t="s">
        <v>428</v>
      </c>
      <c r="AG43" t="s">
        <v>429</v>
      </c>
      <c r="AH43" t="s">
        <v>429</v>
      </c>
      <c r="AI43" t="s">
        <v>428</v>
      </c>
      <c r="AK43" t="s">
        <v>474</v>
      </c>
      <c r="AN43" t="s">
        <v>498</v>
      </c>
      <c r="AO43" t="s">
        <v>446</v>
      </c>
      <c r="AQ43">
        <v>1648226.08</v>
      </c>
      <c r="AR43">
        <v>1648226.08</v>
      </c>
      <c r="AS43">
        <v>20.5045</v>
      </c>
      <c r="AT43">
        <v>25</v>
      </c>
      <c r="AU43">
        <v>0.1</v>
      </c>
      <c r="AV43">
        <v>20.5045</v>
      </c>
      <c r="AW43">
        <v>25</v>
      </c>
      <c r="AX43">
        <v>0.1</v>
      </c>
      <c r="AY43">
        <v>0</v>
      </c>
      <c r="AZ43">
        <v>20.5045</v>
      </c>
      <c r="BA43">
        <v>25</v>
      </c>
      <c r="BB43">
        <v>0.1</v>
      </c>
      <c r="BC43">
        <v>0</v>
      </c>
      <c r="BD43">
        <v>46052</v>
      </c>
      <c r="BE43">
        <v>46065</v>
      </c>
    </row>
    <row r="44" spans="1:57" ht="15.2" customHeight="1" x14ac:dyDescent="0.25">
      <c r="A44" t="s">
        <v>176</v>
      </c>
      <c r="B44" t="s">
        <v>559</v>
      </c>
      <c r="C44" t="s">
        <v>560</v>
      </c>
      <c r="D44" t="s">
        <v>467</v>
      </c>
      <c r="E44" t="s">
        <v>420</v>
      </c>
      <c r="F44" t="s">
        <v>468</v>
      </c>
      <c r="G44" t="s">
        <v>469</v>
      </c>
      <c r="H44" t="s">
        <v>561</v>
      </c>
      <c r="I44" t="s">
        <v>541</v>
      </c>
      <c r="L44" t="s">
        <v>472</v>
      </c>
      <c r="N44" t="s">
        <v>424</v>
      </c>
      <c r="O44" t="s">
        <v>493</v>
      </c>
      <c r="P44" t="s">
        <v>440</v>
      </c>
      <c r="Q44" t="s">
        <v>449</v>
      </c>
      <c r="R44" t="s">
        <v>563</v>
      </c>
      <c r="S44" t="s">
        <v>541</v>
      </c>
      <c r="T44" t="s">
        <v>507</v>
      </c>
      <c r="W44">
        <v>46053.333333333336</v>
      </c>
      <c r="X44">
        <v>46053.708333333336</v>
      </c>
      <c r="Z44">
        <v>9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429</v>
      </c>
      <c r="AG44" t="s">
        <v>429</v>
      </c>
      <c r="AH44" t="s">
        <v>429</v>
      </c>
      <c r="AI44" t="s">
        <v>429</v>
      </c>
      <c r="AN44" t="s">
        <v>431</v>
      </c>
      <c r="AO44" t="s">
        <v>432</v>
      </c>
      <c r="AQ44">
        <v>0</v>
      </c>
      <c r="AR44">
        <v>0</v>
      </c>
      <c r="AS44">
        <v>20.5045</v>
      </c>
      <c r="AT44">
        <v>25</v>
      </c>
      <c r="AU44">
        <v>0.1</v>
      </c>
      <c r="AV44">
        <v>20.5045</v>
      </c>
      <c r="AW44">
        <v>25</v>
      </c>
      <c r="AX44">
        <v>0.1</v>
      </c>
      <c r="AY44">
        <v>0</v>
      </c>
      <c r="AZ44">
        <v>20.5045</v>
      </c>
      <c r="BA44">
        <v>25</v>
      </c>
      <c r="BB44">
        <v>0.1</v>
      </c>
      <c r="BC44">
        <v>0</v>
      </c>
      <c r="BD44">
        <v>46053</v>
      </c>
      <c r="BE44">
        <v>46056</v>
      </c>
    </row>
    <row r="45" spans="1:57" ht="15.2" customHeight="1" x14ac:dyDescent="0.25">
      <c r="A45" t="s">
        <v>176</v>
      </c>
      <c r="B45" t="s">
        <v>559</v>
      </c>
      <c r="C45" t="s">
        <v>560</v>
      </c>
      <c r="D45" t="s">
        <v>467</v>
      </c>
      <c r="E45" t="s">
        <v>420</v>
      </c>
      <c r="F45" t="s">
        <v>468</v>
      </c>
      <c r="G45" t="s">
        <v>469</v>
      </c>
      <c r="H45" t="s">
        <v>561</v>
      </c>
      <c r="I45" t="s">
        <v>541</v>
      </c>
      <c r="L45" t="s">
        <v>472</v>
      </c>
      <c r="N45" t="s">
        <v>424</v>
      </c>
      <c r="P45" t="s">
        <v>425</v>
      </c>
      <c r="Q45" t="s">
        <v>157</v>
      </c>
      <c r="R45" t="s">
        <v>564</v>
      </c>
      <c r="T45" t="s">
        <v>507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 t="s">
        <v>428</v>
      </c>
      <c r="AG45" t="s">
        <v>429</v>
      </c>
      <c r="AH45" t="s">
        <v>429</v>
      </c>
      <c r="AI45" t="s">
        <v>429</v>
      </c>
      <c r="AJ45" t="s">
        <v>485</v>
      </c>
      <c r="AK45" t="s">
        <v>430</v>
      </c>
      <c r="AN45" t="s">
        <v>431</v>
      </c>
      <c r="AO45" t="s">
        <v>432</v>
      </c>
      <c r="AQ45">
        <v>0</v>
      </c>
      <c r="AR45">
        <v>0</v>
      </c>
      <c r="AS45">
        <v>20.5045</v>
      </c>
      <c r="AT45">
        <v>25</v>
      </c>
      <c r="AU45">
        <v>0.1</v>
      </c>
      <c r="AV45">
        <v>20.5045</v>
      </c>
      <c r="AW45">
        <v>25</v>
      </c>
      <c r="AX45">
        <v>0.1</v>
      </c>
      <c r="AY45">
        <v>0</v>
      </c>
      <c r="AZ45">
        <v>332.2</v>
      </c>
      <c r="BA45">
        <v>405</v>
      </c>
      <c r="BB45">
        <v>0.1</v>
      </c>
      <c r="BC45">
        <v>0</v>
      </c>
      <c r="BD45">
        <v>46076</v>
      </c>
      <c r="BE45">
        <v>46091</v>
      </c>
    </row>
    <row r="46" spans="1:57" ht="15.2" customHeight="1" x14ac:dyDescent="0.25">
      <c r="A46" t="s">
        <v>156</v>
      </c>
      <c r="B46" t="s">
        <v>565</v>
      </c>
      <c r="C46" t="s">
        <v>560</v>
      </c>
      <c r="D46" t="s">
        <v>437</v>
      </c>
      <c r="E46" t="s">
        <v>420</v>
      </c>
      <c r="F46" t="s">
        <v>501</v>
      </c>
      <c r="G46" t="s">
        <v>502</v>
      </c>
      <c r="H46" t="s">
        <v>491</v>
      </c>
      <c r="I46" t="s">
        <v>422</v>
      </c>
      <c r="L46" t="s">
        <v>504</v>
      </c>
      <c r="N46" t="s">
        <v>424</v>
      </c>
      <c r="O46" t="s">
        <v>513</v>
      </c>
      <c r="P46" t="s">
        <v>425</v>
      </c>
      <c r="Q46" t="s">
        <v>84</v>
      </c>
      <c r="R46" t="s">
        <v>127</v>
      </c>
      <c r="S46" t="s">
        <v>422</v>
      </c>
      <c r="T46" t="s">
        <v>507</v>
      </c>
      <c r="W46">
        <v>46070.375</v>
      </c>
      <c r="X46">
        <v>0</v>
      </c>
      <c r="Y46">
        <v>45809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 t="s">
        <v>428</v>
      </c>
      <c r="AG46" t="s">
        <v>429</v>
      </c>
      <c r="AH46" t="s">
        <v>429</v>
      </c>
      <c r="AI46" t="s">
        <v>428</v>
      </c>
      <c r="AJ46" t="s">
        <v>474</v>
      </c>
      <c r="AK46" t="s">
        <v>474</v>
      </c>
      <c r="AN46" t="s">
        <v>430</v>
      </c>
      <c r="AO46" t="s">
        <v>432</v>
      </c>
      <c r="AQ46">
        <v>0</v>
      </c>
      <c r="AR46">
        <v>0</v>
      </c>
      <c r="AS46">
        <v>67.8874</v>
      </c>
      <c r="AT46">
        <v>83</v>
      </c>
      <c r="AU46">
        <v>4</v>
      </c>
      <c r="AV46">
        <v>67.8874</v>
      </c>
      <c r="AW46">
        <v>83</v>
      </c>
      <c r="AX46">
        <v>4</v>
      </c>
      <c r="AY46">
        <v>0</v>
      </c>
      <c r="AZ46">
        <v>76</v>
      </c>
      <c r="BA46">
        <v>246</v>
      </c>
      <c r="BB46">
        <v>64</v>
      </c>
      <c r="BC46">
        <v>0</v>
      </c>
      <c r="BD46">
        <v>46070</v>
      </c>
      <c r="BE46">
        <v>46075</v>
      </c>
    </row>
    <row r="47" spans="1:57" ht="15.2" customHeight="1" x14ac:dyDescent="0.25">
      <c r="A47" t="s">
        <v>120</v>
      </c>
      <c r="B47" t="s">
        <v>566</v>
      </c>
      <c r="C47" t="s">
        <v>560</v>
      </c>
      <c r="D47" t="s">
        <v>467</v>
      </c>
      <c r="E47" t="s">
        <v>420</v>
      </c>
      <c r="F47" t="s">
        <v>468</v>
      </c>
      <c r="G47" t="s">
        <v>469</v>
      </c>
      <c r="L47" t="s">
        <v>472</v>
      </c>
      <c r="N47" t="s">
        <v>424</v>
      </c>
      <c r="O47" t="s">
        <v>477</v>
      </c>
      <c r="P47" t="s">
        <v>425</v>
      </c>
      <c r="Q47" t="s">
        <v>48</v>
      </c>
      <c r="R47" t="s">
        <v>567</v>
      </c>
      <c r="W47">
        <v>46066.875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 t="s">
        <v>428</v>
      </c>
      <c r="AG47" t="s">
        <v>429</v>
      </c>
      <c r="AH47" t="s">
        <v>429</v>
      </c>
      <c r="AI47" t="s">
        <v>429</v>
      </c>
      <c r="AJ47" t="s">
        <v>474</v>
      </c>
      <c r="AK47" t="s">
        <v>474</v>
      </c>
      <c r="AN47" t="s">
        <v>431</v>
      </c>
      <c r="AO47" t="s">
        <v>432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292</v>
      </c>
      <c r="BA47">
        <v>365</v>
      </c>
      <c r="BB47">
        <v>1</v>
      </c>
      <c r="BC47">
        <v>0</v>
      </c>
      <c r="BD47">
        <v>46067</v>
      </c>
      <c r="BE47">
        <v>46081</v>
      </c>
    </row>
    <row r="48" spans="1:57" ht="15.2" customHeight="1" x14ac:dyDescent="0.25">
      <c r="A48" t="s">
        <v>120</v>
      </c>
      <c r="B48" t="s">
        <v>566</v>
      </c>
      <c r="C48" t="s">
        <v>560</v>
      </c>
      <c r="D48" t="s">
        <v>467</v>
      </c>
      <c r="E48" t="s">
        <v>420</v>
      </c>
      <c r="F48" t="s">
        <v>468</v>
      </c>
      <c r="G48" t="s">
        <v>469</v>
      </c>
      <c r="L48" t="s">
        <v>472</v>
      </c>
      <c r="N48" t="s">
        <v>424</v>
      </c>
      <c r="O48" t="s">
        <v>568</v>
      </c>
      <c r="P48" t="s">
        <v>440</v>
      </c>
      <c r="Q48" t="s">
        <v>449</v>
      </c>
      <c r="R48" t="s">
        <v>569</v>
      </c>
      <c r="W48">
        <v>46069.541666666664</v>
      </c>
      <c r="X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429</v>
      </c>
      <c r="AG48" t="s">
        <v>429</v>
      </c>
      <c r="AH48" t="s">
        <v>429</v>
      </c>
      <c r="AI48" t="s">
        <v>429</v>
      </c>
      <c r="AN48" t="s">
        <v>431</v>
      </c>
      <c r="AO48" t="s">
        <v>432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46069</v>
      </c>
      <c r="BE48">
        <v>46072</v>
      </c>
    </row>
    <row r="49" spans="1:57" ht="15.2" customHeight="1" x14ac:dyDescent="0.25">
      <c r="A49" t="s">
        <v>294</v>
      </c>
      <c r="B49" t="s">
        <v>570</v>
      </c>
      <c r="C49" t="s">
        <v>560</v>
      </c>
      <c r="D49" t="s">
        <v>437</v>
      </c>
      <c r="E49" t="s">
        <v>420</v>
      </c>
      <c r="F49" t="s">
        <v>501</v>
      </c>
      <c r="G49" t="s">
        <v>502</v>
      </c>
      <c r="L49" t="s">
        <v>504</v>
      </c>
      <c r="N49" t="s">
        <v>424</v>
      </c>
      <c r="P49" t="s">
        <v>425</v>
      </c>
      <c r="Q49" t="s">
        <v>227</v>
      </c>
      <c r="R49" t="s">
        <v>295</v>
      </c>
      <c r="T49" t="s">
        <v>571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428</v>
      </c>
      <c r="AG49" t="s">
        <v>429</v>
      </c>
      <c r="AH49" t="s">
        <v>429</v>
      </c>
      <c r="AI49" t="s">
        <v>429</v>
      </c>
      <c r="AJ49" t="s">
        <v>430</v>
      </c>
      <c r="AK49" t="s">
        <v>430</v>
      </c>
      <c r="AN49" t="s">
        <v>431</v>
      </c>
      <c r="AO49" t="s">
        <v>432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411</v>
      </c>
      <c r="AZ49">
        <v>0</v>
      </c>
      <c r="BA49">
        <v>0</v>
      </c>
      <c r="BB49">
        <v>0</v>
      </c>
      <c r="BC49">
        <v>1000</v>
      </c>
      <c r="BD49">
        <v>46073</v>
      </c>
      <c r="BE49">
        <v>46093</v>
      </c>
    </row>
    <row r="50" spans="1:57" ht="15.2" customHeight="1" x14ac:dyDescent="0.25">
      <c r="A50" t="s">
        <v>572</v>
      </c>
      <c r="B50" t="s">
        <v>573</v>
      </c>
      <c r="C50" t="s">
        <v>560</v>
      </c>
      <c r="D50" t="s">
        <v>437</v>
      </c>
      <c r="E50" t="s">
        <v>420</v>
      </c>
      <c r="F50" t="s">
        <v>501</v>
      </c>
      <c r="G50" t="s">
        <v>502</v>
      </c>
      <c r="H50" t="s">
        <v>561</v>
      </c>
      <c r="I50" t="s">
        <v>422</v>
      </c>
      <c r="L50" t="s">
        <v>504</v>
      </c>
      <c r="N50" t="s">
        <v>424</v>
      </c>
      <c r="O50" t="s">
        <v>574</v>
      </c>
      <c r="P50" t="s">
        <v>425</v>
      </c>
      <c r="Q50" t="s">
        <v>54</v>
      </c>
      <c r="R50" t="s">
        <v>575</v>
      </c>
      <c r="S50" t="s">
        <v>422</v>
      </c>
      <c r="T50" t="s">
        <v>507</v>
      </c>
      <c r="W50">
        <v>46055.208333333336</v>
      </c>
      <c r="X50">
        <v>46071</v>
      </c>
      <c r="Y50">
        <v>45831</v>
      </c>
      <c r="Z50">
        <v>379</v>
      </c>
      <c r="AA50">
        <v>347.42</v>
      </c>
      <c r="AB50">
        <v>304.95</v>
      </c>
      <c r="AC50">
        <v>35</v>
      </c>
      <c r="AD50">
        <v>41.92</v>
      </c>
      <c r="AE50">
        <v>305.5</v>
      </c>
      <c r="AF50" t="s">
        <v>428</v>
      </c>
      <c r="AG50" t="s">
        <v>429</v>
      </c>
      <c r="AH50" t="s">
        <v>429</v>
      </c>
      <c r="AI50" t="s">
        <v>428</v>
      </c>
      <c r="AJ50" t="s">
        <v>430</v>
      </c>
      <c r="AK50" t="s">
        <v>430</v>
      </c>
      <c r="AN50" t="s">
        <v>430</v>
      </c>
      <c r="AO50" t="s">
        <v>446</v>
      </c>
      <c r="AQ50">
        <v>6723871.9299999997</v>
      </c>
      <c r="AR50">
        <v>6723871.9299999997</v>
      </c>
      <c r="AS50">
        <v>17.848200000000002</v>
      </c>
      <c r="AT50">
        <v>27</v>
      </c>
      <c r="AU50">
        <v>23</v>
      </c>
      <c r="AV50">
        <v>17.848200000000002</v>
      </c>
      <c r="AW50">
        <v>27</v>
      </c>
      <c r="AX50">
        <v>23</v>
      </c>
      <c r="AY50">
        <v>0</v>
      </c>
      <c r="AZ50">
        <v>0</v>
      </c>
      <c r="BA50">
        <v>1000</v>
      </c>
      <c r="BB50">
        <v>23</v>
      </c>
      <c r="BC50">
        <v>0</v>
      </c>
      <c r="BD50">
        <v>46053</v>
      </c>
      <c r="BE50">
        <v>46072</v>
      </c>
    </row>
    <row r="51" spans="1:57" ht="15.2" customHeight="1" x14ac:dyDescent="0.25">
      <c r="A51" t="s">
        <v>210</v>
      </c>
      <c r="B51" t="s">
        <v>576</v>
      </c>
      <c r="C51" t="s">
        <v>577</v>
      </c>
      <c r="D51" t="s">
        <v>578</v>
      </c>
      <c r="E51" t="s">
        <v>420</v>
      </c>
      <c r="F51" t="s">
        <v>467</v>
      </c>
      <c r="G51" t="s">
        <v>469</v>
      </c>
      <c r="H51" t="s">
        <v>579</v>
      </c>
      <c r="I51" t="s">
        <v>422</v>
      </c>
      <c r="L51" t="s">
        <v>580</v>
      </c>
      <c r="N51" t="s">
        <v>424</v>
      </c>
      <c r="P51" t="s">
        <v>425</v>
      </c>
      <c r="Q51" t="s">
        <v>157</v>
      </c>
      <c r="R51" t="s">
        <v>581</v>
      </c>
      <c r="S51" t="s">
        <v>422</v>
      </c>
      <c r="T51" t="s">
        <v>582</v>
      </c>
      <c r="W51">
        <v>0</v>
      </c>
      <c r="X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428</v>
      </c>
      <c r="AG51" t="s">
        <v>429</v>
      </c>
      <c r="AH51" t="s">
        <v>429</v>
      </c>
      <c r="AI51" t="s">
        <v>429</v>
      </c>
      <c r="AJ51" t="s">
        <v>474</v>
      </c>
      <c r="AK51" t="s">
        <v>430</v>
      </c>
      <c r="AN51" t="s">
        <v>431</v>
      </c>
      <c r="AO51" t="s">
        <v>432</v>
      </c>
      <c r="AQ51">
        <v>0</v>
      </c>
      <c r="AR51">
        <v>0</v>
      </c>
      <c r="AS51">
        <v>0</v>
      </c>
      <c r="AT51">
        <v>200</v>
      </c>
      <c r="AU51">
        <v>100</v>
      </c>
      <c r="AV51">
        <v>0</v>
      </c>
      <c r="AW51">
        <v>200</v>
      </c>
      <c r="AX51">
        <v>100</v>
      </c>
      <c r="AY51">
        <v>0</v>
      </c>
      <c r="AZ51">
        <v>0</v>
      </c>
      <c r="BA51">
        <v>327</v>
      </c>
      <c r="BB51">
        <v>100</v>
      </c>
      <c r="BC51">
        <v>0</v>
      </c>
      <c r="BD51">
        <v>46059</v>
      </c>
      <c r="BE51">
        <v>46072</v>
      </c>
    </row>
    <row r="52" spans="1:57" ht="15.2" customHeight="1" x14ac:dyDescent="0.25">
      <c r="A52" t="s">
        <v>583</v>
      </c>
      <c r="B52" t="s">
        <v>584</v>
      </c>
      <c r="C52" t="s">
        <v>521</v>
      </c>
      <c r="D52" t="s">
        <v>467</v>
      </c>
      <c r="E52" t="s">
        <v>420</v>
      </c>
      <c r="F52" t="s">
        <v>468</v>
      </c>
      <c r="G52" t="s">
        <v>469</v>
      </c>
      <c r="H52" t="s">
        <v>561</v>
      </c>
      <c r="I52" t="s">
        <v>541</v>
      </c>
      <c r="L52" t="s">
        <v>472</v>
      </c>
      <c r="N52" t="s">
        <v>555</v>
      </c>
      <c r="O52" t="s">
        <v>585</v>
      </c>
      <c r="P52" t="s">
        <v>425</v>
      </c>
      <c r="Q52" t="s">
        <v>557</v>
      </c>
      <c r="R52" t="s">
        <v>586</v>
      </c>
      <c r="S52" t="s">
        <v>541</v>
      </c>
      <c r="T52" t="s">
        <v>507</v>
      </c>
      <c r="W52">
        <v>45937.541666666664</v>
      </c>
      <c r="X52">
        <v>46067.541666666664</v>
      </c>
      <c r="Y52">
        <v>40858</v>
      </c>
      <c r="Z52">
        <v>145.5</v>
      </c>
      <c r="AA52">
        <v>132.07</v>
      </c>
      <c r="AB52">
        <v>0</v>
      </c>
      <c r="AC52">
        <v>0</v>
      </c>
      <c r="AD52">
        <v>0</v>
      </c>
      <c r="AE52">
        <v>132.07</v>
      </c>
      <c r="AF52" t="s">
        <v>428</v>
      </c>
      <c r="AG52" t="s">
        <v>429</v>
      </c>
      <c r="AH52" t="s">
        <v>429</v>
      </c>
      <c r="AI52" t="s">
        <v>429</v>
      </c>
      <c r="AJ52" t="s">
        <v>430</v>
      </c>
      <c r="AK52" t="s">
        <v>474</v>
      </c>
      <c r="AN52" t="s">
        <v>431</v>
      </c>
      <c r="AO52" t="s">
        <v>432</v>
      </c>
      <c r="AQ52">
        <v>0</v>
      </c>
      <c r="AR52">
        <v>0</v>
      </c>
      <c r="AS52">
        <v>4.1009000000000002</v>
      </c>
      <c r="AT52">
        <v>5</v>
      </c>
      <c r="AU52">
        <v>0.1</v>
      </c>
      <c r="AV52">
        <v>4.1009000000000002</v>
      </c>
      <c r="AW52">
        <v>5</v>
      </c>
      <c r="AX52">
        <v>0.1</v>
      </c>
      <c r="AY52">
        <v>0</v>
      </c>
      <c r="AZ52">
        <v>4.1009000000000002</v>
      </c>
      <c r="BA52">
        <v>5</v>
      </c>
      <c r="BB52">
        <v>0.1</v>
      </c>
      <c r="BC52">
        <v>0</v>
      </c>
      <c r="BD52">
        <v>45885</v>
      </c>
      <c r="BE52">
        <v>45894</v>
      </c>
    </row>
    <row r="53" spans="1:57" ht="15.2" customHeight="1" x14ac:dyDescent="0.25">
      <c r="A53" t="s">
        <v>587</v>
      </c>
      <c r="B53" t="s">
        <v>588</v>
      </c>
      <c r="C53" t="s">
        <v>577</v>
      </c>
      <c r="D53" t="s">
        <v>419</v>
      </c>
      <c r="E53" t="s">
        <v>420</v>
      </c>
      <c r="F53" t="s">
        <v>589</v>
      </c>
      <c r="G53" t="s">
        <v>421</v>
      </c>
      <c r="H53" t="s">
        <v>590</v>
      </c>
      <c r="I53" t="s">
        <v>422</v>
      </c>
      <c r="L53" t="s">
        <v>492</v>
      </c>
      <c r="N53" t="s">
        <v>424</v>
      </c>
      <c r="P53" t="s">
        <v>425</v>
      </c>
      <c r="Q53" t="s">
        <v>143</v>
      </c>
      <c r="R53" t="s">
        <v>269</v>
      </c>
      <c r="T53" t="s">
        <v>427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428</v>
      </c>
      <c r="AG53" t="s">
        <v>429</v>
      </c>
      <c r="AH53" t="s">
        <v>429</v>
      </c>
      <c r="AI53" t="s">
        <v>429</v>
      </c>
      <c r="AJ53" t="s">
        <v>430</v>
      </c>
      <c r="AK53" t="s">
        <v>430</v>
      </c>
      <c r="AN53" t="s">
        <v>431</v>
      </c>
      <c r="AO53" t="s">
        <v>432</v>
      </c>
      <c r="AQ53">
        <v>0</v>
      </c>
      <c r="AR53">
        <v>0</v>
      </c>
      <c r="AS53">
        <v>0</v>
      </c>
      <c r="AT53">
        <v>1612</v>
      </c>
      <c r="AU53">
        <v>0</v>
      </c>
      <c r="AV53">
        <v>0</v>
      </c>
      <c r="AW53">
        <v>1612</v>
      </c>
      <c r="AX53">
        <v>0</v>
      </c>
      <c r="AY53">
        <v>0</v>
      </c>
      <c r="AZ53">
        <v>0</v>
      </c>
      <c r="BA53">
        <v>1612</v>
      </c>
      <c r="BB53">
        <v>0</v>
      </c>
      <c r="BC53">
        <v>0</v>
      </c>
      <c r="BD53">
        <v>46078</v>
      </c>
      <c r="BE53">
        <v>46083</v>
      </c>
    </row>
    <row r="54" spans="1:57" ht="15.2" customHeight="1" x14ac:dyDescent="0.25">
      <c r="A54" t="s">
        <v>166</v>
      </c>
      <c r="B54" t="s">
        <v>591</v>
      </c>
      <c r="C54" t="s">
        <v>592</v>
      </c>
      <c r="D54" t="s">
        <v>467</v>
      </c>
      <c r="E54" t="s">
        <v>420</v>
      </c>
      <c r="F54" t="s">
        <v>468</v>
      </c>
      <c r="G54" t="s">
        <v>469</v>
      </c>
      <c r="H54" t="s">
        <v>491</v>
      </c>
      <c r="I54" t="s">
        <v>541</v>
      </c>
      <c r="L54" t="s">
        <v>472</v>
      </c>
      <c r="N54" t="s">
        <v>424</v>
      </c>
      <c r="O54" t="s">
        <v>531</v>
      </c>
      <c r="P54" t="s">
        <v>440</v>
      </c>
      <c r="Q54" t="s">
        <v>167</v>
      </c>
      <c r="R54" t="s">
        <v>593</v>
      </c>
      <c r="T54" t="s">
        <v>507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428</v>
      </c>
      <c r="AG54" t="s">
        <v>429</v>
      </c>
      <c r="AH54" t="s">
        <v>429</v>
      </c>
      <c r="AI54" t="s">
        <v>429</v>
      </c>
      <c r="AK54" t="s">
        <v>474</v>
      </c>
      <c r="AN54" t="s">
        <v>431</v>
      </c>
      <c r="AO54" t="s">
        <v>432</v>
      </c>
      <c r="AQ54">
        <v>0</v>
      </c>
      <c r="AR54">
        <v>0</v>
      </c>
      <c r="AS54">
        <v>95.140799999999999</v>
      </c>
      <c r="AT54">
        <v>116</v>
      </c>
      <c r="AU54">
        <v>0.1</v>
      </c>
      <c r="AV54">
        <v>95.140799999999999</v>
      </c>
      <c r="AW54">
        <v>116</v>
      </c>
      <c r="AX54">
        <v>0.1</v>
      </c>
      <c r="AY54">
        <v>0</v>
      </c>
      <c r="AZ54">
        <v>95.140799999999999</v>
      </c>
      <c r="BA54">
        <v>116</v>
      </c>
      <c r="BB54">
        <v>0.1</v>
      </c>
      <c r="BC54">
        <v>0</v>
      </c>
      <c r="BD54">
        <v>46062</v>
      </c>
      <c r="BE54">
        <v>46071</v>
      </c>
    </row>
    <row r="55" spans="1:57" ht="15.2" customHeight="1" x14ac:dyDescent="0.25">
      <c r="A55" t="s">
        <v>166</v>
      </c>
      <c r="B55" t="s">
        <v>591</v>
      </c>
      <c r="C55" t="s">
        <v>592</v>
      </c>
      <c r="D55" t="s">
        <v>467</v>
      </c>
      <c r="E55" t="s">
        <v>420</v>
      </c>
      <c r="F55" t="s">
        <v>468</v>
      </c>
      <c r="G55" t="s">
        <v>469</v>
      </c>
      <c r="H55" t="s">
        <v>491</v>
      </c>
      <c r="I55" t="s">
        <v>541</v>
      </c>
      <c r="L55" t="s">
        <v>472</v>
      </c>
      <c r="N55" t="s">
        <v>424</v>
      </c>
      <c r="O55" t="s">
        <v>493</v>
      </c>
      <c r="P55" t="s">
        <v>440</v>
      </c>
      <c r="Q55" t="s">
        <v>594</v>
      </c>
      <c r="R55" t="s">
        <v>595</v>
      </c>
      <c r="S55" t="s">
        <v>541</v>
      </c>
      <c r="T55" t="s">
        <v>507</v>
      </c>
      <c r="W55">
        <v>46062.833333333336</v>
      </c>
      <c r="X55">
        <v>46064.333333333336</v>
      </c>
      <c r="Y55">
        <v>32509</v>
      </c>
      <c r="Z55">
        <v>24</v>
      </c>
      <c r="AA55">
        <v>0</v>
      </c>
      <c r="AB55">
        <v>0</v>
      </c>
      <c r="AC55">
        <v>0</v>
      </c>
      <c r="AD55">
        <v>0</v>
      </c>
      <c r="AE55">
        <v>0</v>
      </c>
      <c r="AF55" t="s">
        <v>429</v>
      </c>
      <c r="AG55" t="s">
        <v>429</v>
      </c>
      <c r="AH55" t="s">
        <v>429</v>
      </c>
      <c r="AI55" t="s">
        <v>429</v>
      </c>
      <c r="AN55" t="s">
        <v>431</v>
      </c>
      <c r="AO55" t="s">
        <v>432</v>
      </c>
      <c r="AQ55">
        <v>0</v>
      </c>
      <c r="AR55">
        <v>0</v>
      </c>
      <c r="AS55">
        <v>95.140799999999999</v>
      </c>
      <c r="AT55">
        <v>116</v>
      </c>
      <c r="AU55">
        <v>0.1</v>
      </c>
      <c r="AV55">
        <v>95.140799999999999</v>
      </c>
      <c r="AW55">
        <v>116</v>
      </c>
      <c r="AX55">
        <v>0.1</v>
      </c>
      <c r="AY55">
        <v>0</v>
      </c>
      <c r="AZ55">
        <v>95.140799999999999</v>
      </c>
      <c r="BA55">
        <v>116</v>
      </c>
      <c r="BB55">
        <v>0.1</v>
      </c>
      <c r="BC55">
        <v>0</v>
      </c>
      <c r="BD55">
        <v>46062</v>
      </c>
      <c r="BE55">
        <v>46063</v>
      </c>
    </row>
    <row r="56" spans="1:57" ht="15.2" customHeight="1" x14ac:dyDescent="0.25">
      <c r="A56" t="s">
        <v>596</v>
      </c>
      <c r="B56" t="s">
        <v>597</v>
      </c>
      <c r="C56" t="s">
        <v>592</v>
      </c>
      <c r="D56" t="s">
        <v>467</v>
      </c>
      <c r="E56" t="s">
        <v>420</v>
      </c>
      <c r="F56" t="s">
        <v>468</v>
      </c>
      <c r="G56" t="s">
        <v>469</v>
      </c>
      <c r="H56" t="s">
        <v>598</v>
      </c>
      <c r="I56" t="s">
        <v>422</v>
      </c>
      <c r="L56" t="s">
        <v>472</v>
      </c>
      <c r="N56" t="s">
        <v>424</v>
      </c>
      <c r="O56" t="s">
        <v>493</v>
      </c>
      <c r="P56" t="s">
        <v>440</v>
      </c>
      <c r="Q56" t="s">
        <v>537</v>
      </c>
      <c r="R56" t="s">
        <v>599</v>
      </c>
      <c r="S56" t="s">
        <v>422</v>
      </c>
      <c r="T56" t="s">
        <v>507</v>
      </c>
      <c r="W56">
        <v>46055.333333333336</v>
      </c>
      <c r="X56">
        <v>46057.375</v>
      </c>
      <c r="Z56">
        <v>49</v>
      </c>
      <c r="AA56">
        <v>0</v>
      </c>
      <c r="AB56">
        <v>0</v>
      </c>
      <c r="AC56">
        <v>0</v>
      </c>
      <c r="AD56">
        <v>0</v>
      </c>
      <c r="AE56">
        <v>0</v>
      </c>
      <c r="AF56" t="s">
        <v>428</v>
      </c>
      <c r="AG56" t="s">
        <v>429</v>
      </c>
      <c r="AH56" t="s">
        <v>429</v>
      </c>
      <c r="AI56" t="s">
        <v>429</v>
      </c>
      <c r="AK56" t="s">
        <v>474</v>
      </c>
      <c r="AN56" t="s">
        <v>431</v>
      </c>
      <c r="AO56" t="s">
        <v>432</v>
      </c>
      <c r="AQ56">
        <v>0</v>
      </c>
      <c r="AR56">
        <v>0</v>
      </c>
      <c r="AS56">
        <v>16.403600000000001</v>
      </c>
      <c r="AT56">
        <v>20</v>
      </c>
      <c r="AU56">
        <v>0.1</v>
      </c>
      <c r="AV56">
        <v>16.403600000000001</v>
      </c>
      <c r="AW56">
        <v>20</v>
      </c>
      <c r="AX56">
        <v>0.1</v>
      </c>
      <c r="AY56">
        <v>0</v>
      </c>
      <c r="AZ56">
        <v>16.403600000000001</v>
      </c>
      <c r="BA56">
        <v>20</v>
      </c>
      <c r="BB56">
        <v>0.1</v>
      </c>
      <c r="BC56">
        <v>0</v>
      </c>
      <c r="BD56">
        <v>46055</v>
      </c>
      <c r="BE56">
        <v>46057</v>
      </c>
    </row>
    <row r="57" spans="1:57" ht="15.2" customHeight="1" x14ac:dyDescent="0.25">
      <c r="A57" t="s">
        <v>596</v>
      </c>
      <c r="B57" t="s">
        <v>597</v>
      </c>
      <c r="C57" t="s">
        <v>592</v>
      </c>
      <c r="D57" t="s">
        <v>467</v>
      </c>
      <c r="E57" t="s">
        <v>420</v>
      </c>
      <c r="F57" t="s">
        <v>468</v>
      </c>
      <c r="G57" t="s">
        <v>469</v>
      </c>
      <c r="H57" t="s">
        <v>598</v>
      </c>
      <c r="I57" t="s">
        <v>422</v>
      </c>
      <c r="L57" t="s">
        <v>472</v>
      </c>
      <c r="N57" t="s">
        <v>424</v>
      </c>
      <c r="O57" t="s">
        <v>493</v>
      </c>
      <c r="P57" t="s">
        <v>440</v>
      </c>
      <c r="Q57" t="s">
        <v>594</v>
      </c>
      <c r="R57" t="s">
        <v>600</v>
      </c>
      <c r="T57" t="s">
        <v>507</v>
      </c>
      <c r="W57">
        <v>46053.708333333336</v>
      </c>
      <c r="X57">
        <v>46054.833333333336</v>
      </c>
      <c r="Y57">
        <v>0</v>
      </c>
      <c r="Z57">
        <v>27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429</v>
      </c>
      <c r="AG57" t="s">
        <v>429</v>
      </c>
      <c r="AH57" t="s">
        <v>429</v>
      </c>
      <c r="AI57" t="s">
        <v>429</v>
      </c>
      <c r="AN57" t="s">
        <v>431</v>
      </c>
      <c r="AO57" t="s">
        <v>432</v>
      </c>
      <c r="AQ57">
        <v>0</v>
      </c>
      <c r="AR57">
        <v>0</v>
      </c>
      <c r="AS57">
        <v>16.403600000000001</v>
      </c>
      <c r="AT57">
        <v>20</v>
      </c>
      <c r="AU57">
        <v>0.1</v>
      </c>
      <c r="AV57">
        <v>16.403600000000001</v>
      </c>
      <c r="AW57">
        <v>20</v>
      </c>
      <c r="AX57">
        <v>0.1</v>
      </c>
      <c r="AY57">
        <v>0</v>
      </c>
      <c r="AZ57">
        <v>16.403600000000001</v>
      </c>
      <c r="BA57">
        <v>20</v>
      </c>
      <c r="BB57">
        <v>0.1</v>
      </c>
      <c r="BC57">
        <v>0</v>
      </c>
      <c r="BD57">
        <v>46053</v>
      </c>
      <c r="BE57">
        <v>46054</v>
      </c>
    </row>
    <row r="58" spans="1:57" ht="15.2" customHeight="1" x14ac:dyDescent="0.25">
      <c r="A58" t="s">
        <v>596</v>
      </c>
      <c r="B58" t="s">
        <v>597</v>
      </c>
      <c r="C58" t="s">
        <v>592</v>
      </c>
      <c r="D58" t="s">
        <v>467</v>
      </c>
      <c r="E58" t="s">
        <v>420</v>
      </c>
      <c r="F58" t="s">
        <v>468</v>
      </c>
      <c r="G58" t="s">
        <v>469</v>
      </c>
      <c r="H58" t="s">
        <v>503</v>
      </c>
      <c r="I58" t="s">
        <v>422</v>
      </c>
      <c r="L58" t="s">
        <v>472</v>
      </c>
      <c r="N58" t="s">
        <v>424</v>
      </c>
      <c r="O58" t="s">
        <v>560</v>
      </c>
      <c r="P58" t="s">
        <v>425</v>
      </c>
      <c r="Q58" t="s">
        <v>96</v>
      </c>
      <c r="R58" t="s">
        <v>601</v>
      </c>
      <c r="S58" t="s">
        <v>422</v>
      </c>
      <c r="T58" t="s">
        <v>507</v>
      </c>
      <c r="W58">
        <v>46048.708333333336</v>
      </c>
      <c r="X58">
        <v>46054.416666666664</v>
      </c>
      <c r="Y58">
        <v>44176</v>
      </c>
      <c r="Z58">
        <v>137</v>
      </c>
      <c r="AA58">
        <v>125.58</v>
      </c>
      <c r="AB58">
        <v>81.05</v>
      </c>
      <c r="AC58">
        <v>66.5</v>
      </c>
      <c r="AD58">
        <v>66.5</v>
      </c>
      <c r="AE58">
        <v>59.08</v>
      </c>
      <c r="AF58" t="s">
        <v>428</v>
      </c>
      <c r="AG58" t="s">
        <v>429</v>
      </c>
      <c r="AH58" t="s">
        <v>429</v>
      </c>
      <c r="AI58" t="s">
        <v>428</v>
      </c>
      <c r="AJ58" t="s">
        <v>474</v>
      </c>
      <c r="AK58" t="s">
        <v>474</v>
      </c>
      <c r="AN58" t="s">
        <v>498</v>
      </c>
      <c r="AO58" t="s">
        <v>446</v>
      </c>
      <c r="AQ58">
        <v>3077206.82</v>
      </c>
      <c r="AR58">
        <v>3077206.82</v>
      </c>
      <c r="AS58">
        <v>16.403600000000001</v>
      </c>
      <c r="AT58">
        <v>20</v>
      </c>
      <c r="AU58">
        <v>0.1</v>
      </c>
      <c r="AV58">
        <v>16.403600000000001</v>
      </c>
      <c r="AW58">
        <v>20</v>
      </c>
      <c r="AX58">
        <v>0.1</v>
      </c>
      <c r="AY58">
        <v>0</v>
      </c>
      <c r="AZ58">
        <v>158</v>
      </c>
      <c r="BA58">
        <v>193</v>
      </c>
      <c r="BB58">
        <v>0.1</v>
      </c>
      <c r="BC58">
        <v>0</v>
      </c>
      <c r="BD58">
        <v>45683</v>
      </c>
      <c r="BE58">
        <v>45690</v>
      </c>
    </row>
    <row r="59" spans="1:57" ht="15.2" customHeight="1" x14ac:dyDescent="0.25">
      <c r="A59" t="s">
        <v>228</v>
      </c>
      <c r="B59" t="s">
        <v>602</v>
      </c>
      <c r="C59" t="s">
        <v>603</v>
      </c>
      <c r="D59" t="s">
        <v>437</v>
      </c>
      <c r="E59" t="s">
        <v>420</v>
      </c>
      <c r="F59" t="s">
        <v>501</v>
      </c>
      <c r="G59" t="s">
        <v>502</v>
      </c>
      <c r="H59" t="s">
        <v>579</v>
      </c>
      <c r="I59" t="s">
        <v>422</v>
      </c>
      <c r="L59" t="s">
        <v>504</v>
      </c>
      <c r="N59" t="s">
        <v>424</v>
      </c>
      <c r="O59" t="s">
        <v>443</v>
      </c>
      <c r="P59" t="s">
        <v>425</v>
      </c>
      <c r="Q59" t="s">
        <v>109</v>
      </c>
      <c r="R59" t="s">
        <v>604</v>
      </c>
      <c r="S59" t="s">
        <v>422</v>
      </c>
      <c r="T59" t="s">
        <v>507</v>
      </c>
      <c r="W59">
        <v>46046.625</v>
      </c>
      <c r="X59">
        <v>46068.625</v>
      </c>
      <c r="Y59">
        <v>46027</v>
      </c>
      <c r="Z59">
        <v>506.75</v>
      </c>
      <c r="AA59">
        <v>464.52</v>
      </c>
      <c r="AB59">
        <v>515.63</v>
      </c>
      <c r="AC59">
        <v>152</v>
      </c>
      <c r="AD59">
        <v>166.83</v>
      </c>
      <c r="AE59">
        <v>297.69</v>
      </c>
      <c r="AF59" t="s">
        <v>428</v>
      </c>
      <c r="AG59" t="s">
        <v>429</v>
      </c>
      <c r="AH59" t="s">
        <v>429</v>
      </c>
      <c r="AI59" t="s">
        <v>428</v>
      </c>
      <c r="AJ59" t="s">
        <v>474</v>
      </c>
      <c r="AK59" t="s">
        <v>474</v>
      </c>
      <c r="AN59" t="s">
        <v>498</v>
      </c>
      <c r="AO59" t="s">
        <v>446</v>
      </c>
      <c r="AQ59">
        <v>10620641.109999999</v>
      </c>
      <c r="AR59">
        <v>10620641.109999999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174</v>
      </c>
      <c r="BA59">
        <v>201</v>
      </c>
      <c r="BB59">
        <v>0</v>
      </c>
      <c r="BC59">
        <v>0</v>
      </c>
      <c r="BD59">
        <v>46046</v>
      </c>
      <c r="BE59">
        <v>46051</v>
      </c>
    </row>
    <row r="60" spans="1:57" ht="15.2" customHeight="1" x14ac:dyDescent="0.25">
      <c r="A60" t="s">
        <v>605</v>
      </c>
      <c r="B60" t="s">
        <v>606</v>
      </c>
      <c r="C60" t="s">
        <v>592</v>
      </c>
      <c r="D60" t="s">
        <v>467</v>
      </c>
      <c r="E60" t="s">
        <v>420</v>
      </c>
      <c r="F60" t="s">
        <v>468</v>
      </c>
      <c r="G60" t="s">
        <v>469</v>
      </c>
      <c r="I60" t="s">
        <v>422</v>
      </c>
      <c r="L60" t="s">
        <v>472</v>
      </c>
      <c r="N60" t="s">
        <v>424</v>
      </c>
      <c r="O60" t="s">
        <v>39</v>
      </c>
      <c r="P60" t="s">
        <v>440</v>
      </c>
      <c r="Q60" t="s">
        <v>167</v>
      </c>
      <c r="R60" t="s">
        <v>607</v>
      </c>
      <c r="S60" t="s">
        <v>422</v>
      </c>
      <c r="T60" t="s">
        <v>507</v>
      </c>
      <c r="W60">
        <v>46033.166666666664</v>
      </c>
      <c r="X60">
        <v>46055.5</v>
      </c>
      <c r="Y60">
        <v>46043</v>
      </c>
      <c r="Z60">
        <v>536</v>
      </c>
      <c r="AA60">
        <v>491.33</v>
      </c>
      <c r="AB60">
        <v>497.59000000000003</v>
      </c>
      <c r="AC60">
        <v>312</v>
      </c>
      <c r="AD60">
        <v>312</v>
      </c>
      <c r="AE60">
        <v>179.33</v>
      </c>
      <c r="AF60" t="s">
        <v>428</v>
      </c>
      <c r="AG60" t="s">
        <v>429</v>
      </c>
      <c r="AH60" t="s">
        <v>429</v>
      </c>
      <c r="AI60" t="s">
        <v>428</v>
      </c>
      <c r="AK60" t="s">
        <v>474</v>
      </c>
      <c r="AN60" t="s">
        <v>498</v>
      </c>
      <c r="AO60" t="s">
        <v>446</v>
      </c>
      <c r="AQ60">
        <v>11822531.939999999</v>
      </c>
      <c r="AR60">
        <v>11822531.939999999</v>
      </c>
      <c r="AS60">
        <v>27.873000000000001</v>
      </c>
      <c r="AT60">
        <v>35</v>
      </c>
      <c r="AU60">
        <v>3</v>
      </c>
      <c r="AV60">
        <v>27.873000000000001</v>
      </c>
      <c r="AW60">
        <v>35</v>
      </c>
      <c r="AX60">
        <v>3</v>
      </c>
      <c r="AY60">
        <v>0</v>
      </c>
      <c r="AZ60">
        <v>81.100000000000009</v>
      </c>
      <c r="BA60">
        <v>98.9</v>
      </c>
      <c r="BB60">
        <v>0.1</v>
      </c>
      <c r="BC60">
        <v>0</v>
      </c>
      <c r="BD60">
        <v>46033</v>
      </c>
      <c r="BE60">
        <v>46042</v>
      </c>
    </row>
    <row r="61" spans="1:57" ht="15.2" customHeight="1" x14ac:dyDescent="0.25">
      <c r="A61" t="s">
        <v>605</v>
      </c>
      <c r="B61" t="s">
        <v>606</v>
      </c>
      <c r="C61" t="s">
        <v>592</v>
      </c>
      <c r="D61" t="s">
        <v>467</v>
      </c>
      <c r="E61" t="s">
        <v>420</v>
      </c>
      <c r="F61" t="s">
        <v>468</v>
      </c>
      <c r="G61" t="s">
        <v>469</v>
      </c>
      <c r="I61" t="s">
        <v>422</v>
      </c>
      <c r="L61" t="s">
        <v>472</v>
      </c>
      <c r="N61" t="s">
        <v>424</v>
      </c>
      <c r="O61" t="s">
        <v>608</v>
      </c>
      <c r="P61" t="s">
        <v>440</v>
      </c>
      <c r="Q61" t="s">
        <v>594</v>
      </c>
      <c r="R61" t="s">
        <v>609</v>
      </c>
      <c r="S61" t="s">
        <v>422</v>
      </c>
      <c r="T61" t="s">
        <v>507</v>
      </c>
      <c r="W61">
        <v>46059.6875</v>
      </c>
      <c r="X61">
        <v>0</v>
      </c>
      <c r="Y61">
        <v>46043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 t="s">
        <v>429</v>
      </c>
      <c r="AG61" t="s">
        <v>429</v>
      </c>
      <c r="AH61" t="s">
        <v>429</v>
      </c>
      <c r="AI61" t="s">
        <v>429</v>
      </c>
      <c r="AN61" t="s">
        <v>431</v>
      </c>
      <c r="AO61" t="s">
        <v>432</v>
      </c>
      <c r="AQ61">
        <v>0</v>
      </c>
      <c r="AR61">
        <v>0</v>
      </c>
      <c r="AS61">
        <v>27.873000000000001</v>
      </c>
      <c r="AT61">
        <v>35</v>
      </c>
      <c r="AU61">
        <v>3</v>
      </c>
      <c r="AV61">
        <v>81.168199999999999</v>
      </c>
      <c r="AW61">
        <v>169</v>
      </c>
      <c r="AX61">
        <v>41.5</v>
      </c>
      <c r="AY61">
        <v>0</v>
      </c>
      <c r="AZ61">
        <v>27.873000000000001</v>
      </c>
      <c r="BA61">
        <v>35</v>
      </c>
      <c r="BB61">
        <v>3</v>
      </c>
      <c r="BC61">
        <v>0</v>
      </c>
      <c r="BD61">
        <v>46059</v>
      </c>
      <c r="BE61">
        <v>46061</v>
      </c>
    </row>
    <row r="62" spans="1:57" ht="15.2" customHeight="1" x14ac:dyDescent="0.25">
      <c r="A62" t="s">
        <v>610</v>
      </c>
      <c r="B62" t="s">
        <v>611</v>
      </c>
      <c r="C62" t="s">
        <v>592</v>
      </c>
      <c r="D62" t="s">
        <v>467</v>
      </c>
      <c r="E62" t="s">
        <v>420</v>
      </c>
      <c r="F62" t="s">
        <v>468</v>
      </c>
      <c r="G62" t="s">
        <v>469</v>
      </c>
      <c r="I62" t="s">
        <v>541</v>
      </c>
      <c r="L62" t="s">
        <v>472</v>
      </c>
      <c r="N62" t="s">
        <v>424</v>
      </c>
      <c r="O62" t="s">
        <v>612</v>
      </c>
      <c r="P62" t="s">
        <v>440</v>
      </c>
      <c r="Q62" t="s">
        <v>49</v>
      </c>
      <c r="R62" t="s">
        <v>613</v>
      </c>
      <c r="T62" t="s">
        <v>427</v>
      </c>
      <c r="W62">
        <v>46070.604166666664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428</v>
      </c>
      <c r="AG62" t="s">
        <v>429</v>
      </c>
      <c r="AH62" t="s">
        <v>429</v>
      </c>
      <c r="AI62" t="s">
        <v>429</v>
      </c>
      <c r="AK62" t="s">
        <v>474</v>
      </c>
      <c r="AN62" t="s">
        <v>431</v>
      </c>
      <c r="AO62" t="s">
        <v>432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46066</v>
      </c>
      <c r="BE62">
        <v>46067</v>
      </c>
    </row>
    <row r="63" spans="1:57" ht="15.2" customHeight="1" x14ac:dyDescent="0.25">
      <c r="A63" t="s">
        <v>610</v>
      </c>
      <c r="B63" t="s">
        <v>611</v>
      </c>
      <c r="C63" t="s">
        <v>592</v>
      </c>
      <c r="D63" t="s">
        <v>467</v>
      </c>
      <c r="E63" t="s">
        <v>420</v>
      </c>
      <c r="F63" t="s">
        <v>468</v>
      </c>
      <c r="G63" t="s">
        <v>469</v>
      </c>
      <c r="I63" t="s">
        <v>541</v>
      </c>
      <c r="L63" t="s">
        <v>472</v>
      </c>
      <c r="N63" t="s">
        <v>424</v>
      </c>
      <c r="O63" t="s">
        <v>568</v>
      </c>
      <c r="P63" t="s">
        <v>440</v>
      </c>
      <c r="Q63" t="s">
        <v>49</v>
      </c>
      <c r="R63" t="s">
        <v>614</v>
      </c>
      <c r="S63" t="s">
        <v>541</v>
      </c>
      <c r="T63" t="s">
        <v>427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429</v>
      </c>
      <c r="AG63" t="s">
        <v>429</v>
      </c>
      <c r="AH63" t="s">
        <v>429</v>
      </c>
      <c r="AI63" t="s">
        <v>429</v>
      </c>
      <c r="AN63" t="s">
        <v>431</v>
      </c>
      <c r="AO63" t="s">
        <v>432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46071</v>
      </c>
      <c r="BE63">
        <v>46072</v>
      </c>
    </row>
    <row r="64" spans="1:57" ht="15.2" customHeight="1" x14ac:dyDescent="0.25">
      <c r="A64" t="s">
        <v>615</v>
      </c>
      <c r="B64" t="s">
        <v>616</v>
      </c>
      <c r="C64" t="s">
        <v>617</v>
      </c>
      <c r="D64" t="s">
        <v>489</v>
      </c>
      <c r="E64" t="s">
        <v>420</v>
      </c>
      <c r="F64" t="s">
        <v>490</v>
      </c>
      <c r="G64" t="s">
        <v>469</v>
      </c>
      <c r="H64" t="s">
        <v>618</v>
      </c>
      <c r="I64" t="s">
        <v>422</v>
      </c>
      <c r="L64" t="s">
        <v>492</v>
      </c>
      <c r="N64" t="s">
        <v>424</v>
      </c>
      <c r="O64" t="s">
        <v>619</v>
      </c>
      <c r="P64" t="s">
        <v>425</v>
      </c>
      <c r="Q64" t="s">
        <v>103</v>
      </c>
      <c r="R64" t="s">
        <v>620</v>
      </c>
      <c r="T64" t="s">
        <v>507</v>
      </c>
      <c r="W64">
        <v>46048.708333333336</v>
      </c>
      <c r="X64">
        <v>46054.625</v>
      </c>
      <c r="Y64">
        <v>0</v>
      </c>
      <c r="Z64">
        <v>142</v>
      </c>
      <c r="AA64">
        <v>130.17000000000002</v>
      </c>
      <c r="AB64">
        <v>0</v>
      </c>
      <c r="AC64">
        <v>62</v>
      </c>
      <c r="AD64">
        <v>84</v>
      </c>
      <c r="AE64">
        <v>46.17</v>
      </c>
      <c r="AF64" t="s">
        <v>428</v>
      </c>
      <c r="AG64" t="s">
        <v>429</v>
      </c>
      <c r="AH64" t="s">
        <v>429</v>
      </c>
      <c r="AI64" t="s">
        <v>429</v>
      </c>
      <c r="AJ64" t="s">
        <v>474</v>
      </c>
      <c r="AK64" t="s">
        <v>474</v>
      </c>
      <c r="AN64" t="s">
        <v>431</v>
      </c>
      <c r="AO64" t="s">
        <v>432</v>
      </c>
      <c r="AQ64">
        <v>0</v>
      </c>
      <c r="AR64">
        <v>0</v>
      </c>
      <c r="AS64">
        <v>95.077700000000007</v>
      </c>
      <c r="AT64">
        <v>247</v>
      </c>
      <c r="AU64">
        <v>53</v>
      </c>
      <c r="AV64">
        <v>61.588800000000006</v>
      </c>
      <c r="AW64">
        <v>160</v>
      </c>
      <c r="AX64">
        <v>53</v>
      </c>
      <c r="AY64">
        <v>0</v>
      </c>
      <c r="AZ64">
        <v>95.077700000000007</v>
      </c>
      <c r="BA64">
        <v>247</v>
      </c>
      <c r="BB64">
        <v>53</v>
      </c>
      <c r="BC64">
        <v>0</v>
      </c>
      <c r="BD64">
        <v>46048</v>
      </c>
      <c r="BE64">
        <v>46053</v>
      </c>
    </row>
    <row r="65" spans="1:57" ht="15.2" customHeight="1" x14ac:dyDescent="0.25">
      <c r="A65" t="s">
        <v>138</v>
      </c>
      <c r="B65" t="s">
        <v>621</v>
      </c>
      <c r="C65" t="s">
        <v>617</v>
      </c>
      <c r="D65" t="s">
        <v>489</v>
      </c>
      <c r="E65" t="s">
        <v>420</v>
      </c>
      <c r="F65" t="s">
        <v>622</v>
      </c>
      <c r="G65" t="s">
        <v>469</v>
      </c>
      <c r="L65" t="s">
        <v>492</v>
      </c>
      <c r="N65" t="s">
        <v>424</v>
      </c>
      <c r="O65" t="s">
        <v>500</v>
      </c>
      <c r="P65" t="s">
        <v>425</v>
      </c>
      <c r="Q65" t="s">
        <v>57</v>
      </c>
      <c r="R65" t="s">
        <v>623</v>
      </c>
      <c r="W65">
        <v>46070.208333333336</v>
      </c>
      <c r="X65">
        <v>0</v>
      </c>
      <c r="Z65">
        <v>0</v>
      </c>
      <c r="AA65">
        <v>0</v>
      </c>
      <c r="AB65">
        <v>16.68</v>
      </c>
      <c r="AC65">
        <v>0</v>
      </c>
      <c r="AD65">
        <v>0</v>
      </c>
      <c r="AE65">
        <v>0</v>
      </c>
      <c r="AF65" t="s">
        <v>428</v>
      </c>
      <c r="AG65" t="s">
        <v>429</v>
      </c>
      <c r="AH65" t="s">
        <v>429</v>
      </c>
      <c r="AI65" t="s">
        <v>428</v>
      </c>
      <c r="AJ65" t="s">
        <v>474</v>
      </c>
      <c r="AK65" t="s">
        <v>430</v>
      </c>
      <c r="AN65" t="s">
        <v>430</v>
      </c>
      <c r="AO65" t="s">
        <v>446</v>
      </c>
      <c r="AQ65">
        <v>328664.87</v>
      </c>
      <c r="AR65">
        <v>328664.87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143.20000000000002</v>
      </c>
      <c r="BA65">
        <v>252</v>
      </c>
      <c r="BB65">
        <v>30</v>
      </c>
      <c r="BC65">
        <v>0</v>
      </c>
      <c r="BD65">
        <v>46071</v>
      </c>
      <c r="BE65">
        <v>46081</v>
      </c>
    </row>
    <row r="66" spans="1:57" ht="15.2" customHeight="1" x14ac:dyDescent="0.25">
      <c r="A66" t="s">
        <v>138</v>
      </c>
      <c r="B66" t="s">
        <v>621</v>
      </c>
      <c r="C66" t="s">
        <v>617</v>
      </c>
      <c r="D66" t="s">
        <v>489</v>
      </c>
      <c r="E66" t="s">
        <v>420</v>
      </c>
      <c r="F66" t="s">
        <v>622</v>
      </c>
      <c r="G66" t="s">
        <v>469</v>
      </c>
      <c r="L66" t="s">
        <v>492</v>
      </c>
      <c r="N66" t="s">
        <v>424</v>
      </c>
      <c r="O66" t="s">
        <v>619</v>
      </c>
      <c r="P66" t="s">
        <v>425</v>
      </c>
      <c r="Q66" t="s">
        <v>154</v>
      </c>
      <c r="R66" t="s">
        <v>624</v>
      </c>
      <c r="W66">
        <v>46054.625</v>
      </c>
      <c r="X66">
        <v>46070.375</v>
      </c>
      <c r="Z66">
        <v>372</v>
      </c>
      <c r="AA66">
        <v>341</v>
      </c>
      <c r="AB66">
        <v>0</v>
      </c>
      <c r="AC66">
        <v>45</v>
      </c>
      <c r="AD66">
        <v>74.25</v>
      </c>
      <c r="AE66">
        <v>266.75</v>
      </c>
      <c r="AF66" t="s">
        <v>428</v>
      </c>
      <c r="AG66" t="s">
        <v>429</v>
      </c>
      <c r="AH66" t="s">
        <v>429</v>
      </c>
      <c r="AI66" t="s">
        <v>429</v>
      </c>
      <c r="AJ66" t="s">
        <v>474</v>
      </c>
      <c r="AK66" t="s">
        <v>474</v>
      </c>
      <c r="AN66" t="s">
        <v>431</v>
      </c>
      <c r="AO66" t="s">
        <v>432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46053</v>
      </c>
      <c r="BE66">
        <v>46063</v>
      </c>
    </row>
    <row r="67" spans="1:57" ht="15.2" customHeight="1" x14ac:dyDescent="0.25">
      <c r="A67" t="s">
        <v>289</v>
      </c>
      <c r="B67" t="s">
        <v>625</v>
      </c>
      <c r="C67" t="s">
        <v>536</v>
      </c>
      <c r="D67" t="s">
        <v>518</v>
      </c>
      <c r="E67" t="s">
        <v>420</v>
      </c>
      <c r="F67" t="s">
        <v>519</v>
      </c>
      <c r="G67" t="s">
        <v>421</v>
      </c>
      <c r="H67" t="s">
        <v>503</v>
      </c>
      <c r="I67" t="s">
        <v>422</v>
      </c>
      <c r="L67" t="s">
        <v>492</v>
      </c>
      <c r="N67" t="s">
        <v>520</v>
      </c>
      <c r="P67" t="s">
        <v>425</v>
      </c>
      <c r="Q67" t="s">
        <v>103</v>
      </c>
      <c r="R67" t="s">
        <v>626</v>
      </c>
      <c r="T67" t="s">
        <v>507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428</v>
      </c>
      <c r="AG67" t="s">
        <v>429</v>
      </c>
      <c r="AH67" t="s">
        <v>429</v>
      </c>
      <c r="AI67" t="s">
        <v>429</v>
      </c>
      <c r="AJ67" t="s">
        <v>474</v>
      </c>
      <c r="AK67" t="s">
        <v>474</v>
      </c>
      <c r="AN67" t="s">
        <v>431</v>
      </c>
      <c r="AO67" t="s">
        <v>432</v>
      </c>
      <c r="AQ67">
        <v>0</v>
      </c>
      <c r="AR67">
        <v>0</v>
      </c>
      <c r="AS67">
        <v>4.8745000000000003</v>
      </c>
      <c r="AT67">
        <v>21</v>
      </c>
      <c r="AU67">
        <v>72</v>
      </c>
      <c r="AV67">
        <v>4.8745000000000003</v>
      </c>
      <c r="AW67">
        <v>21</v>
      </c>
      <c r="AX67">
        <v>72</v>
      </c>
      <c r="AY67">
        <v>0</v>
      </c>
      <c r="AZ67">
        <v>28.400000000000002</v>
      </c>
      <c r="BA67">
        <v>279.7</v>
      </c>
      <c r="BB67">
        <v>93</v>
      </c>
      <c r="BC67">
        <v>0</v>
      </c>
      <c r="BD67">
        <v>46053</v>
      </c>
      <c r="BE67">
        <v>46073</v>
      </c>
    </row>
    <row r="68" spans="1:57" ht="15.2" customHeight="1" x14ac:dyDescent="0.25">
      <c r="A68" t="s">
        <v>289</v>
      </c>
      <c r="B68" t="s">
        <v>625</v>
      </c>
      <c r="C68" t="s">
        <v>536</v>
      </c>
      <c r="D68" t="s">
        <v>518</v>
      </c>
      <c r="E68" t="s">
        <v>420</v>
      </c>
      <c r="F68" t="s">
        <v>519</v>
      </c>
      <c r="G68" t="s">
        <v>421</v>
      </c>
      <c r="H68" t="s">
        <v>503</v>
      </c>
      <c r="I68" t="s">
        <v>422</v>
      </c>
      <c r="L68" t="s">
        <v>492</v>
      </c>
      <c r="N68" t="s">
        <v>520</v>
      </c>
      <c r="O68" t="s">
        <v>521</v>
      </c>
      <c r="P68" t="s">
        <v>440</v>
      </c>
      <c r="Q68" t="s">
        <v>51</v>
      </c>
      <c r="R68" t="s">
        <v>627</v>
      </c>
      <c r="T68" t="s">
        <v>507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 t="s">
        <v>428</v>
      </c>
      <c r="AG68" t="s">
        <v>429</v>
      </c>
      <c r="AH68" t="s">
        <v>429</v>
      </c>
      <c r="AI68" t="s">
        <v>429</v>
      </c>
      <c r="AK68" t="s">
        <v>430</v>
      </c>
      <c r="AN68" t="s">
        <v>431</v>
      </c>
      <c r="AO68" t="s">
        <v>432</v>
      </c>
      <c r="AQ68">
        <v>0</v>
      </c>
      <c r="AR68">
        <v>0</v>
      </c>
      <c r="AS68">
        <v>4.8745000000000003</v>
      </c>
      <c r="AT68">
        <v>21</v>
      </c>
      <c r="AU68">
        <v>72</v>
      </c>
      <c r="AV68">
        <v>4.8745000000000003</v>
      </c>
      <c r="AW68">
        <v>21</v>
      </c>
      <c r="AX68">
        <v>72</v>
      </c>
      <c r="AY68">
        <v>0</v>
      </c>
      <c r="AZ68">
        <v>4.8745000000000003</v>
      </c>
      <c r="BA68">
        <v>21</v>
      </c>
      <c r="BB68">
        <v>72</v>
      </c>
      <c r="BC68">
        <v>0</v>
      </c>
      <c r="BD68">
        <v>46068</v>
      </c>
      <c r="BE68">
        <v>46076</v>
      </c>
    </row>
    <row r="69" spans="1:57" ht="15.2" customHeight="1" x14ac:dyDescent="0.25">
      <c r="A69" t="s">
        <v>100</v>
      </c>
      <c r="B69" t="s">
        <v>628</v>
      </c>
      <c r="C69" t="s">
        <v>629</v>
      </c>
      <c r="D69" t="s">
        <v>437</v>
      </c>
      <c r="E69" t="s">
        <v>420</v>
      </c>
      <c r="F69" t="s">
        <v>501</v>
      </c>
      <c r="G69" t="s">
        <v>502</v>
      </c>
      <c r="H69" t="s">
        <v>503</v>
      </c>
      <c r="I69" t="s">
        <v>422</v>
      </c>
      <c r="L69" t="s">
        <v>504</v>
      </c>
      <c r="N69" t="s">
        <v>424</v>
      </c>
      <c r="O69" t="s">
        <v>443</v>
      </c>
      <c r="P69" t="s">
        <v>425</v>
      </c>
      <c r="Q69" t="s">
        <v>54</v>
      </c>
      <c r="R69" t="s">
        <v>630</v>
      </c>
      <c r="S69" t="s">
        <v>422</v>
      </c>
      <c r="T69" t="s">
        <v>507</v>
      </c>
      <c r="W69">
        <v>46068.625</v>
      </c>
      <c r="X69">
        <v>0</v>
      </c>
      <c r="Y69">
        <v>45865</v>
      </c>
      <c r="Z69">
        <v>0</v>
      </c>
      <c r="AA69">
        <v>0</v>
      </c>
      <c r="AB69">
        <v>11.3</v>
      </c>
      <c r="AC69">
        <v>0</v>
      </c>
      <c r="AD69">
        <v>0</v>
      </c>
      <c r="AE69">
        <v>0</v>
      </c>
      <c r="AF69" t="s">
        <v>429</v>
      </c>
      <c r="AG69" t="s">
        <v>429</v>
      </c>
      <c r="AH69" t="s">
        <v>429</v>
      </c>
      <c r="AI69" t="s">
        <v>428</v>
      </c>
      <c r="AN69" t="s">
        <v>430</v>
      </c>
      <c r="AO69" t="s">
        <v>446</v>
      </c>
      <c r="AQ69">
        <v>217068.22</v>
      </c>
      <c r="AR69">
        <v>217068.22</v>
      </c>
      <c r="AS69">
        <v>98.346400000000003</v>
      </c>
      <c r="AT69">
        <v>119</v>
      </c>
      <c r="AU69">
        <v>3</v>
      </c>
      <c r="AV69">
        <v>98.346400000000003</v>
      </c>
      <c r="AW69">
        <v>119</v>
      </c>
      <c r="AX69">
        <v>3</v>
      </c>
      <c r="AY69">
        <v>0</v>
      </c>
      <c r="AZ69">
        <v>0</v>
      </c>
      <c r="BA69">
        <v>1000</v>
      </c>
      <c r="BB69">
        <v>3</v>
      </c>
      <c r="BC69">
        <v>0</v>
      </c>
      <c r="BD69">
        <v>46068</v>
      </c>
      <c r="BE69">
        <v>46075</v>
      </c>
    </row>
    <row r="70" spans="1:57" ht="15.2" customHeight="1" x14ac:dyDescent="0.25">
      <c r="A70" t="s">
        <v>333</v>
      </c>
      <c r="B70" t="s">
        <v>631</v>
      </c>
      <c r="C70" t="s">
        <v>632</v>
      </c>
      <c r="D70" t="s">
        <v>518</v>
      </c>
      <c r="E70" t="s">
        <v>420</v>
      </c>
      <c r="F70" t="s">
        <v>519</v>
      </c>
      <c r="G70" t="s">
        <v>421</v>
      </c>
      <c r="H70" t="s">
        <v>544</v>
      </c>
      <c r="I70" t="s">
        <v>422</v>
      </c>
      <c r="L70" t="s">
        <v>492</v>
      </c>
      <c r="N70" t="s">
        <v>555</v>
      </c>
      <c r="O70" t="s">
        <v>556</v>
      </c>
      <c r="P70" t="s">
        <v>425</v>
      </c>
      <c r="Q70" t="s">
        <v>557</v>
      </c>
      <c r="R70" t="s">
        <v>633</v>
      </c>
      <c r="S70" t="s">
        <v>422</v>
      </c>
      <c r="T70" t="s">
        <v>507</v>
      </c>
      <c r="W70">
        <v>45773.625</v>
      </c>
      <c r="X70">
        <v>46067.542361111111</v>
      </c>
      <c r="Y70">
        <v>44989</v>
      </c>
      <c r="Z70">
        <v>100.02</v>
      </c>
      <c r="AA70">
        <v>93.33</v>
      </c>
      <c r="AB70">
        <v>0</v>
      </c>
      <c r="AC70">
        <v>0</v>
      </c>
      <c r="AD70">
        <v>0</v>
      </c>
      <c r="AE70">
        <v>93.33</v>
      </c>
      <c r="AF70" t="s">
        <v>428</v>
      </c>
      <c r="AG70" t="s">
        <v>429</v>
      </c>
      <c r="AH70" t="s">
        <v>429</v>
      </c>
      <c r="AI70" t="s">
        <v>429</v>
      </c>
      <c r="AJ70" t="s">
        <v>430</v>
      </c>
      <c r="AK70" t="s">
        <v>474</v>
      </c>
      <c r="AN70" t="s">
        <v>431</v>
      </c>
      <c r="AO70" t="s">
        <v>432</v>
      </c>
      <c r="AQ70">
        <v>0</v>
      </c>
      <c r="AR70">
        <v>0</v>
      </c>
      <c r="AS70">
        <v>0.21890000000000001</v>
      </c>
      <c r="AT70">
        <v>132</v>
      </c>
      <c r="AU70">
        <v>99.8</v>
      </c>
      <c r="AV70">
        <v>0.21890000000000001</v>
      </c>
      <c r="AW70">
        <v>132</v>
      </c>
      <c r="AX70">
        <v>99.8</v>
      </c>
      <c r="AY70">
        <v>0</v>
      </c>
      <c r="AZ70">
        <v>0.21890000000000001</v>
      </c>
      <c r="BA70">
        <v>132</v>
      </c>
      <c r="BB70">
        <v>99.8</v>
      </c>
      <c r="BC70">
        <v>0</v>
      </c>
      <c r="BD70">
        <v>45772</v>
      </c>
      <c r="BE70">
        <v>45773</v>
      </c>
    </row>
    <row r="71" spans="1:57" ht="15.2" customHeight="1" x14ac:dyDescent="0.25">
      <c r="A71" t="s">
        <v>140</v>
      </c>
      <c r="B71" t="s">
        <v>38</v>
      </c>
      <c r="C71" t="s">
        <v>634</v>
      </c>
      <c r="D71" t="s">
        <v>635</v>
      </c>
      <c r="E71" t="s">
        <v>420</v>
      </c>
      <c r="F71" t="s">
        <v>636</v>
      </c>
      <c r="G71" t="s">
        <v>502</v>
      </c>
      <c r="H71" t="s">
        <v>491</v>
      </c>
      <c r="I71" t="s">
        <v>541</v>
      </c>
      <c r="L71" t="s">
        <v>637</v>
      </c>
      <c r="N71" t="s">
        <v>424</v>
      </c>
      <c r="O71" t="s">
        <v>638</v>
      </c>
      <c r="P71" t="s">
        <v>440</v>
      </c>
      <c r="Q71" t="s">
        <v>441</v>
      </c>
      <c r="R71" t="s">
        <v>639</v>
      </c>
      <c r="S71" t="s">
        <v>541</v>
      </c>
      <c r="T71" t="s">
        <v>507</v>
      </c>
      <c r="W71">
        <v>0</v>
      </c>
      <c r="X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429</v>
      </c>
      <c r="AG71" t="s">
        <v>429</v>
      </c>
      <c r="AH71" t="s">
        <v>429</v>
      </c>
      <c r="AI71" t="s">
        <v>429</v>
      </c>
      <c r="AN71" t="s">
        <v>431</v>
      </c>
      <c r="AO71" t="s">
        <v>432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46066</v>
      </c>
      <c r="BE71">
        <v>46073</v>
      </c>
    </row>
    <row r="72" spans="1:57" ht="15.2" customHeight="1" x14ac:dyDescent="0.25">
      <c r="A72" t="s">
        <v>140</v>
      </c>
      <c r="B72" t="s">
        <v>38</v>
      </c>
      <c r="C72" t="s">
        <v>634</v>
      </c>
      <c r="D72" t="s">
        <v>635</v>
      </c>
      <c r="E72" t="s">
        <v>420</v>
      </c>
      <c r="F72" t="s">
        <v>636</v>
      </c>
      <c r="G72" t="s">
        <v>502</v>
      </c>
      <c r="H72" t="s">
        <v>491</v>
      </c>
      <c r="I72" t="s">
        <v>541</v>
      </c>
      <c r="L72" t="s">
        <v>637</v>
      </c>
      <c r="N72" t="s">
        <v>424</v>
      </c>
      <c r="O72" t="s">
        <v>638</v>
      </c>
      <c r="P72" t="s">
        <v>425</v>
      </c>
      <c r="Q72" t="s">
        <v>48</v>
      </c>
      <c r="R72" t="s">
        <v>640</v>
      </c>
      <c r="T72" t="s">
        <v>507</v>
      </c>
      <c r="W72">
        <v>46067.333333333336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428</v>
      </c>
      <c r="AG72" t="s">
        <v>429</v>
      </c>
      <c r="AH72" t="s">
        <v>429</v>
      </c>
      <c r="AI72" t="s">
        <v>429</v>
      </c>
      <c r="AJ72" t="s">
        <v>474</v>
      </c>
      <c r="AK72" t="s">
        <v>474</v>
      </c>
      <c r="AN72" t="s">
        <v>431</v>
      </c>
      <c r="AO72" t="s">
        <v>432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10</v>
      </c>
      <c r="BA72">
        <v>50</v>
      </c>
      <c r="BB72">
        <v>20</v>
      </c>
      <c r="BC72">
        <v>0</v>
      </c>
      <c r="BD72">
        <v>46067</v>
      </c>
      <c r="BE72">
        <v>46113</v>
      </c>
    </row>
    <row r="73" spans="1:57" ht="15.2" customHeight="1" x14ac:dyDescent="0.25">
      <c r="A73" t="s">
        <v>362</v>
      </c>
      <c r="B73" t="s">
        <v>641</v>
      </c>
      <c r="C73" t="s">
        <v>39</v>
      </c>
      <c r="D73" t="s">
        <v>642</v>
      </c>
      <c r="E73" t="s">
        <v>420</v>
      </c>
      <c r="F73" t="s">
        <v>643</v>
      </c>
      <c r="G73" t="s">
        <v>421</v>
      </c>
      <c r="H73" t="s">
        <v>598</v>
      </c>
      <c r="I73" t="s">
        <v>422</v>
      </c>
      <c r="L73" t="s">
        <v>644</v>
      </c>
      <c r="N73" t="s">
        <v>424</v>
      </c>
      <c r="P73" t="s">
        <v>425</v>
      </c>
      <c r="Q73" t="s">
        <v>84</v>
      </c>
      <c r="R73" t="s">
        <v>645</v>
      </c>
      <c r="T73" t="s">
        <v>507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428</v>
      </c>
      <c r="AG73" t="s">
        <v>429</v>
      </c>
      <c r="AH73" t="s">
        <v>429</v>
      </c>
      <c r="AI73" t="s">
        <v>429</v>
      </c>
      <c r="AJ73" t="s">
        <v>430</v>
      </c>
      <c r="AK73" t="s">
        <v>430</v>
      </c>
      <c r="AN73" t="s">
        <v>431</v>
      </c>
      <c r="AO73" t="s">
        <v>432</v>
      </c>
      <c r="AQ73">
        <v>0</v>
      </c>
      <c r="AR73">
        <v>0</v>
      </c>
      <c r="AS73">
        <v>3.5899000000000001</v>
      </c>
      <c r="AT73">
        <v>72</v>
      </c>
      <c r="AU73">
        <v>94</v>
      </c>
      <c r="AV73">
        <v>3.5899000000000001</v>
      </c>
      <c r="AW73">
        <v>72</v>
      </c>
      <c r="AX73">
        <v>94</v>
      </c>
      <c r="AY73">
        <v>0</v>
      </c>
      <c r="AZ73">
        <v>24.5</v>
      </c>
      <c r="BA73">
        <v>52</v>
      </c>
      <c r="BB73">
        <v>42.7</v>
      </c>
      <c r="BC73">
        <v>0</v>
      </c>
      <c r="BD73">
        <v>46071</v>
      </c>
      <c r="BE73">
        <v>46078</v>
      </c>
    </row>
    <row r="74" spans="1:57" ht="15.2" customHeight="1" x14ac:dyDescent="0.25">
      <c r="A74" t="s">
        <v>330</v>
      </c>
      <c r="B74" t="s">
        <v>646</v>
      </c>
      <c r="C74" t="s">
        <v>634</v>
      </c>
      <c r="D74" t="s">
        <v>437</v>
      </c>
      <c r="E74" t="s">
        <v>420</v>
      </c>
      <c r="F74" t="s">
        <v>501</v>
      </c>
      <c r="G74" t="s">
        <v>502</v>
      </c>
      <c r="I74" t="s">
        <v>422</v>
      </c>
      <c r="L74" t="s">
        <v>504</v>
      </c>
      <c r="N74" t="s">
        <v>424</v>
      </c>
      <c r="O74" t="s">
        <v>439</v>
      </c>
      <c r="P74" t="s">
        <v>440</v>
      </c>
      <c r="Q74" t="s">
        <v>456</v>
      </c>
      <c r="R74" t="s">
        <v>647</v>
      </c>
      <c r="S74" t="s">
        <v>422</v>
      </c>
      <c r="T74" t="s">
        <v>507</v>
      </c>
      <c r="W74">
        <v>46062.541666666664</v>
      </c>
      <c r="X74">
        <v>46064.333333333336</v>
      </c>
      <c r="Y74">
        <v>0</v>
      </c>
      <c r="Z74">
        <v>43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429</v>
      </c>
      <c r="AG74" t="s">
        <v>429</v>
      </c>
      <c r="AH74" t="s">
        <v>429</v>
      </c>
      <c r="AI74" t="s">
        <v>429</v>
      </c>
      <c r="AN74" t="s">
        <v>431</v>
      </c>
      <c r="AO74" t="s">
        <v>432</v>
      </c>
      <c r="AQ74">
        <v>0</v>
      </c>
      <c r="AR74">
        <v>0</v>
      </c>
      <c r="AS74">
        <v>306.35570000000001</v>
      </c>
      <c r="AT74">
        <v>868</v>
      </c>
      <c r="AU74">
        <v>59</v>
      </c>
      <c r="AV74">
        <v>306.35570000000001</v>
      </c>
      <c r="AW74">
        <v>868</v>
      </c>
      <c r="AX74">
        <v>59</v>
      </c>
      <c r="AY74">
        <v>0</v>
      </c>
      <c r="AZ74">
        <v>306.35570000000001</v>
      </c>
      <c r="BA74">
        <v>868</v>
      </c>
      <c r="BB74">
        <v>59</v>
      </c>
      <c r="BC74">
        <v>0</v>
      </c>
      <c r="BD74">
        <v>46062</v>
      </c>
      <c r="BE74">
        <v>46063</v>
      </c>
    </row>
    <row r="75" spans="1:57" ht="15.2" customHeight="1" x14ac:dyDescent="0.25">
      <c r="A75" t="s">
        <v>330</v>
      </c>
      <c r="B75" t="s">
        <v>646</v>
      </c>
      <c r="C75" t="s">
        <v>634</v>
      </c>
      <c r="D75" t="s">
        <v>437</v>
      </c>
      <c r="E75" t="s">
        <v>420</v>
      </c>
      <c r="F75" t="s">
        <v>501</v>
      </c>
      <c r="G75" t="s">
        <v>502</v>
      </c>
      <c r="H75" t="s">
        <v>503</v>
      </c>
      <c r="I75" t="s">
        <v>422</v>
      </c>
      <c r="L75" t="s">
        <v>504</v>
      </c>
      <c r="N75" t="s">
        <v>424</v>
      </c>
      <c r="O75" t="s">
        <v>454</v>
      </c>
      <c r="P75" t="s">
        <v>440</v>
      </c>
      <c r="Q75" t="s">
        <v>51</v>
      </c>
      <c r="R75" t="s">
        <v>648</v>
      </c>
      <c r="S75" t="s">
        <v>422</v>
      </c>
      <c r="T75" t="s">
        <v>507</v>
      </c>
      <c r="W75">
        <v>46067.208333333336</v>
      </c>
      <c r="X75">
        <v>0</v>
      </c>
      <c r="Y75">
        <v>45909</v>
      </c>
      <c r="Z75">
        <v>0</v>
      </c>
      <c r="AA75">
        <v>0</v>
      </c>
      <c r="AB75">
        <v>87.28</v>
      </c>
      <c r="AC75">
        <v>0</v>
      </c>
      <c r="AD75">
        <v>0</v>
      </c>
      <c r="AE75">
        <v>0</v>
      </c>
      <c r="AF75" t="s">
        <v>428</v>
      </c>
      <c r="AG75" t="s">
        <v>429</v>
      </c>
      <c r="AH75" t="s">
        <v>428</v>
      </c>
      <c r="AI75" t="s">
        <v>428</v>
      </c>
      <c r="AK75" t="s">
        <v>485</v>
      </c>
      <c r="AM75" t="s">
        <v>430</v>
      </c>
      <c r="AN75" t="s">
        <v>430</v>
      </c>
      <c r="AO75" t="s">
        <v>446</v>
      </c>
      <c r="AQ75">
        <v>2094172.56</v>
      </c>
      <c r="AR75">
        <v>2094172.56</v>
      </c>
      <c r="AS75">
        <v>306.35570000000001</v>
      </c>
      <c r="AT75">
        <v>868</v>
      </c>
      <c r="AU75">
        <v>59</v>
      </c>
      <c r="AV75">
        <v>306.35570000000001</v>
      </c>
      <c r="AW75">
        <v>868</v>
      </c>
      <c r="AX75">
        <v>59</v>
      </c>
      <c r="AY75">
        <v>0</v>
      </c>
      <c r="AZ75">
        <v>414</v>
      </c>
      <c r="BA75">
        <v>961</v>
      </c>
      <c r="BB75">
        <v>59</v>
      </c>
      <c r="BC75">
        <v>0</v>
      </c>
      <c r="BD75">
        <v>46066</v>
      </c>
      <c r="BE75">
        <v>46073</v>
      </c>
    </row>
    <row r="76" spans="1:57" ht="15.2" customHeight="1" x14ac:dyDescent="0.25">
      <c r="A76" t="s">
        <v>649</v>
      </c>
      <c r="B76" t="s">
        <v>650</v>
      </c>
      <c r="C76" t="s">
        <v>38</v>
      </c>
      <c r="D76" t="s">
        <v>642</v>
      </c>
      <c r="E76" t="s">
        <v>420</v>
      </c>
      <c r="F76" t="s">
        <v>651</v>
      </c>
      <c r="G76" t="s">
        <v>421</v>
      </c>
      <c r="H76" t="s">
        <v>598</v>
      </c>
      <c r="I76" t="s">
        <v>422</v>
      </c>
      <c r="L76" t="s">
        <v>644</v>
      </c>
      <c r="N76" t="s">
        <v>424</v>
      </c>
      <c r="P76" t="s">
        <v>425</v>
      </c>
      <c r="Q76" t="s">
        <v>103</v>
      </c>
      <c r="R76" t="s">
        <v>652</v>
      </c>
      <c r="T76" t="s">
        <v>507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428</v>
      </c>
      <c r="AG76" t="s">
        <v>429</v>
      </c>
      <c r="AH76" t="s">
        <v>429</v>
      </c>
      <c r="AI76" t="s">
        <v>429</v>
      </c>
      <c r="AJ76" t="s">
        <v>430</v>
      </c>
      <c r="AK76" t="s">
        <v>430</v>
      </c>
      <c r="AN76" t="s">
        <v>431</v>
      </c>
      <c r="AO76" t="s">
        <v>432</v>
      </c>
      <c r="AQ76">
        <v>0</v>
      </c>
      <c r="AR76">
        <v>0</v>
      </c>
      <c r="AS76">
        <v>4.9195000000000002</v>
      </c>
      <c r="AT76">
        <v>74</v>
      </c>
      <c r="AU76">
        <v>92</v>
      </c>
      <c r="AV76">
        <v>4.9195000000000002</v>
      </c>
      <c r="AW76">
        <v>74</v>
      </c>
      <c r="AX76">
        <v>92</v>
      </c>
      <c r="AY76">
        <v>0</v>
      </c>
      <c r="AZ76">
        <v>8.9</v>
      </c>
      <c r="BA76">
        <v>267</v>
      </c>
      <c r="BB76">
        <v>96</v>
      </c>
      <c r="BC76">
        <v>0</v>
      </c>
      <c r="BD76">
        <v>46043</v>
      </c>
      <c r="BE76">
        <v>46060</v>
      </c>
    </row>
    <row r="77" spans="1:57" ht="15.2" customHeight="1" x14ac:dyDescent="0.25">
      <c r="A77" t="s">
        <v>132</v>
      </c>
      <c r="B77" t="s">
        <v>653</v>
      </c>
      <c r="C77" t="s">
        <v>654</v>
      </c>
      <c r="D77" t="s">
        <v>518</v>
      </c>
      <c r="E77" t="s">
        <v>420</v>
      </c>
      <c r="F77" t="s">
        <v>519</v>
      </c>
      <c r="G77" t="s">
        <v>421</v>
      </c>
      <c r="H77" t="s">
        <v>544</v>
      </c>
      <c r="I77" t="s">
        <v>422</v>
      </c>
      <c r="L77" t="s">
        <v>492</v>
      </c>
      <c r="N77" t="s">
        <v>520</v>
      </c>
      <c r="P77" t="s">
        <v>425</v>
      </c>
      <c r="Q77" t="s">
        <v>62</v>
      </c>
      <c r="R77" t="s">
        <v>655</v>
      </c>
      <c r="T77" t="s">
        <v>507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428</v>
      </c>
      <c r="AG77" t="s">
        <v>429</v>
      </c>
      <c r="AH77" t="s">
        <v>429</v>
      </c>
      <c r="AI77" t="s">
        <v>429</v>
      </c>
      <c r="AJ77" t="s">
        <v>474</v>
      </c>
      <c r="AK77" t="s">
        <v>430</v>
      </c>
      <c r="AN77" t="s">
        <v>431</v>
      </c>
      <c r="AO77" t="s">
        <v>432</v>
      </c>
      <c r="AQ77">
        <v>0</v>
      </c>
      <c r="AR77">
        <v>0</v>
      </c>
      <c r="AS77">
        <v>10.1843</v>
      </c>
      <c r="AT77">
        <v>105</v>
      </c>
      <c r="AU77">
        <v>88.3</v>
      </c>
      <c r="AV77">
        <v>10.1843</v>
      </c>
      <c r="AW77">
        <v>105</v>
      </c>
      <c r="AX77">
        <v>88.3</v>
      </c>
      <c r="AY77">
        <v>0</v>
      </c>
      <c r="AZ77">
        <v>34.4</v>
      </c>
      <c r="BA77">
        <v>112</v>
      </c>
      <c r="BB77">
        <v>62.9</v>
      </c>
      <c r="BC77">
        <v>0</v>
      </c>
      <c r="BD77">
        <v>46035</v>
      </c>
      <c r="BE77">
        <v>46054</v>
      </c>
    </row>
    <row r="78" spans="1:57" ht="15.2" customHeight="1" x14ac:dyDescent="0.25">
      <c r="A78" t="s">
        <v>656</v>
      </c>
      <c r="B78" t="s">
        <v>657</v>
      </c>
      <c r="C78" t="s">
        <v>466</v>
      </c>
      <c r="D78" t="s">
        <v>518</v>
      </c>
      <c r="E78" t="s">
        <v>420</v>
      </c>
      <c r="F78" t="s">
        <v>519</v>
      </c>
      <c r="G78" t="s">
        <v>421</v>
      </c>
      <c r="H78" t="s">
        <v>503</v>
      </c>
      <c r="I78" t="s">
        <v>422</v>
      </c>
      <c r="L78" t="s">
        <v>492</v>
      </c>
      <c r="N78" t="s">
        <v>424</v>
      </c>
      <c r="O78" t="s">
        <v>500</v>
      </c>
      <c r="P78" t="s">
        <v>425</v>
      </c>
      <c r="Q78" t="s">
        <v>109</v>
      </c>
      <c r="R78" t="s">
        <v>658</v>
      </c>
      <c r="S78" t="s">
        <v>422</v>
      </c>
      <c r="T78" t="s">
        <v>507</v>
      </c>
      <c r="W78">
        <v>46034.708333333336</v>
      </c>
      <c r="X78">
        <v>46062.958333333336</v>
      </c>
      <c r="Y78">
        <v>46044</v>
      </c>
      <c r="Z78">
        <v>678</v>
      </c>
      <c r="AA78">
        <v>621.5</v>
      </c>
      <c r="AB78">
        <v>581.57000000000005</v>
      </c>
      <c r="AC78">
        <v>332.17</v>
      </c>
      <c r="AD78">
        <v>348.17</v>
      </c>
      <c r="AE78">
        <v>273.33</v>
      </c>
      <c r="AF78" t="s">
        <v>428</v>
      </c>
      <c r="AG78" t="s">
        <v>429</v>
      </c>
      <c r="AH78" t="s">
        <v>429</v>
      </c>
      <c r="AI78" t="s">
        <v>428</v>
      </c>
      <c r="AJ78" t="s">
        <v>430</v>
      </c>
      <c r="AK78" t="s">
        <v>430</v>
      </c>
      <c r="AN78" t="s">
        <v>498</v>
      </c>
      <c r="AO78" t="s">
        <v>446</v>
      </c>
      <c r="AQ78">
        <v>14050605.050000001</v>
      </c>
      <c r="AR78">
        <v>14050605.050000001</v>
      </c>
      <c r="AS78">
        <v>56.106700000000004</v>
      </c>
      <c r="AT78">
        <v>423</v>
      </c>
      <c r="AU78">
        <v>84</v>
      </c>
      <c r="AV78">
        <v>56.106700000000004</v>
      </c>
      <c r="AW78">
        <v>423</v>
      </c>
      <c r="AX78">
        <v>84</v>
      </c>
      <c r="AY78">
        <v>0</v>
      </c>
      <c r="AZ78">
        <v>62.36</v>
      </c>
      <c r="BA78">
        <v>482.2</v>
      </c>
      <c r="BB78">
        <v>84</v>
      </c>
      <c r="BC78">
        <v>0</v>
      </c>
      <c r="BD78">
        <v>46032</v>
      </c>
      <c r="BE78">
        <v>46044</v>
      </c>
    </row>
    <row r="79" spans="1:57" ht="15.2" customHeight="1" x14ac:dyDescent="0.25">
      <c r="A79" t="s">
        <v>656</v>
      </c>
      <c r="B79" t="s">
        <v>657</v>
      </c>
      <c r="C79" t="s">
        <v>466</v>
      </c>
      <c r="D79" t="s">
        <v>518</v>
      </c>
      <c r="E79" t="s">
        <v>420</v>
      </c>
      <c r="F79" t="s">
        <v>519</v>
      </c>
      <c r="G79" t="s">
        <v>421</v>
      </c>
      <c r="H79" t="s">
        <v>544</v>
      </c>
      <c r="I79" t="s">
        <v>422</v>
      </c>
      <c r="L79" t="s">
        <v>492</v>
      </c>
      <c r="N79" t="s">
        <v>424</v>
      </c>
      <c r="O79" t="s">
        <v>500</v>
      </c>
      <c r="P79" t="s">
        <v>440</v>
      </c>
      <c r="Q79" t="s">
        <v>51</v>
      </c>
      <c r="R79" t="s">
        <v>659</v>
      </c>
      <c r="T79" t="s">
        <v>507</v>
      </c>
      <c r="W79">
        <v>46062.958333333336</v>
      </c>
      <c r="X79">
        <v>46070.208333333336</v>
      </c>
      <c r="Y79">
        <v>0</v>
      </c>
      <c r="Z79">
        <v>174</v>
      </c>
      <c r="AA79">
        <v>159.5</v>
      </c>
      <c r="AB79">
        <v>157.85</v>
      </c>
      <c r="AC79">
        <v>0</v>
      </c>
      <c r="AD79">
        <v>12</v>
      </c>
      <c r="AE79">
        <v>147.5</v>
      </c>
      <c r="AF79" t="s">
        <v>429</v>
      </c>
      <c r="AG79" t="s">
        <v>429</v>
      </c>
      <c r="AH79" t="s">
        <v>429</v>
      </c>
      <c r="AI79" t="s">
        <v>428</v>
      </c>
      <c r="AN79" t="s">
        <v>430</v>
      </c>
      <c r="AO79" t="s">
        <v>446</v>
      </c>
      <c r="AQ79">
        <v>4459175.2699999996</v>
      </c>
      <c r="AR79">
        <v>4459175.2699999996</v>
      </c>
      <c r="AS79">
        <v>56.106700000000004</v>
      </c>
      <c r="AT79">
        <v>423</v>
      </c>
      <c r="AU79">
        <v>84</v>
      </c>
      <c r="AV79">
        <v>56.106700000000004</v>
      </c>
      <c r="AW79">
        <v>423</v>
      </c>
      <c r="AX79">
        <v>84</v>
      </c>
      <c r="AY79">
        <v>0</v>
      </c>
      <c r="AZ79">
        <v>62.36</v>
      </c>
      <c r="BA79">
        <v>482</v>
      </c>
      <c r="BB79">
        <v>84</v>
      </c>
      <c r="BC79">
        <v>0</v>
      </c>
      <c r="BD79">
        <v>46064</v>
      </c>
      <c r="BE79">
        <v>46078</v>
      </c>
    </row>
    <row r="80" spans="1:57" ht="15.2" customHeight="1" x14ac:dyDescent="0.25">
      <c r="A80" t="s">
        <v>135</v>
      </c>
      <c r="B80" t="s">
        <v>660</v>
      </c>
      <c r="C80" t="s">
        <v>483</v>
      </c>
      <c r="D80" t="s">
        <v>661</v>
      </c>
      <c r="E80" t="s">
        <v>420</v>
      </c>
      <c r="F80" t="s">
        <v>501</v>
      </c>
      <c r="G80" t="s">
        <v>502</v>
      </c>
      <c r="H80" t="s">
        <v>662</v>
      </c>
      <c r="I80" t="s">
        <v>471</v>
      </c>
      <c r="N80" t="s">
        <v>424</v>
      </c>
      <c r="P80" t="s">
        <v>425</v>
      </c>
      <c r="Q80" t="s">
        <v>105</v>
      </c>
      <c r="R80" t="s">
        <v>663</v>
      </c>
      <c r="T80" t="s">
        <v>507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 t="s">
        <v>428</v>
      </c>
      <c r="AG80" t="s">
        <v>429</v>
      </c>
      <c r="AH80" t="s">
        <v>429</v>
      </c>
      <c r="AI80" t="s">
        <v>429</v>
      </c>
      <c r="AJ80" t="s">
        <v>474</v>
      </c>
      <c r="AK80" t="s">
        <v>430</v>
      </c>
      <c r="AN80" t="s">
        <v>431</v>
      </c>
      <c r="AO80" t="s">
        <v>432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1</v>
      </c>
      <c r="BA80">
        <v>10</v>
      </c>
      <c r="BB80">
        <v>90</v>
      </c>
      <c r="BC80">
        <v>0</v>
      </c>
      <c r="BD80">
        <v>46073</v>
      </c>
      <c r="BE80">
        <v>46101</v>
      </c>
    </row>
    <row r="81" spans="1:57" ht="15.2" customHeight="1" x14ac:dyDescent="0.25">
      <c r="A81" t="s">
        <v>320</v>
      </c>
      <c r="B81" t="s">
        <v>664</v>
      </c>
      <c r="C81" t="s">
        <v>500</v>
      </c>
      <c r="D81" t="s">
        <v>518</v>
      </c>
      <c r="E81" t="s">
        <v>420</v>
      </c>
      <c r="F81" t="s">
        <v>519</v>
      </c>
      <c r="G81" t="s">
        <v>421</v>
      </c>
      <c r="I81" t="s">
        <v>422</v>
      </c>
      <c r="L81" t="s">
        <v>492</v>
      </c>
      <c r="N81" t="s">
        <v>424</v>
      </c>
      <c r="P81" t="s">
        <v>440</v>
      </c>
      <c r="Q81" t="s">
        <v>51</v>
      </c>
      <c r="R81" t="s">
        <v>665</v>
      </c>
      <c r="T81" t="s">
        <v>507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 t="s">
        <v>428</v>
      </c>
      <c r="AG81" t="s">
        <v>429</v>
      </c>
      <c r="AH81" t="s">
        <v>429</v>
      </c>
      <c r="AI81" t="s">
        <v>429</v>
      </c>
      <c r="AK81" t="s">
        <v>430</v>
      </c>
      <c r="AN81" t="s">
        <v>431</v>
      </c>
      <c r="AO81" t="s">
        <v>432</v>
      </c>
      <c r="AQ81">
        <v>0</v>
      </c>
      <c r="AR81">
        <v>0</v>
      </c>
      <c r="AS81">
        <v>20.2608</v>
      </c>
      <c r="AT81">
        <v>26</v>
      </c>
      <c r="AU81">
        <v>6</v>
      </c>
      <c r="AV81">
        <v>20.2608</v>
      </c>
      <c r="AW81">
        <v>26</v>
      </c>
      <c r="AX81">
        <v>6</v>
      </c>
      <c r="AY81">
        <v>0</v>
      </c>
      <c r="AZ81">
        <v>20.2608</v>
      </c>
      <c r="BA81">
        <v>26</v>
      </c>
      <c r="BB81">
        <v>6</v>
      </c>
      <c r="BC81">
        <v>0</v>
      </c>
      <c r="BD81">
        <v>46048</v>
      </c>
      <c r="BE81">
        <v>46060</v>
      </c>
    </row>
    <row r="82" spans="1:57" ht="15.2" customHeight="1" x14ac:dyDescent="0.25">
      <c r="A82" t="s">
        <v>287</v>
      </c>
      <c r="B82" t="s">
        <v>666</v>
      </c>
      <c r="C82" t="s">
        <v>531</v>
      </c>
      <c r="D82" t="s">
        <v>642</v>
      </c>
      <c r="E82" t="s">
        <v>420</v>
      </c>
      <c r="F82" t="s">
        <v>651</v>
      </c>
      <c r="G82" t="s">
        <v>421</v>
      </c>
      <c r="H82" t="s">
        <v>579</v>
      </c>
      <c r="I82" t="s">
        <v>422</v>
      </c>
      <c r="L82" t="s">
        <v>644</v>
      </c>
      <c r="N82" t="s">
        <v>520</v>
      </c>
      <c r="O82" t="s">
        <v>38</v>
      </c>
      <c r="P82" t="s">
        <v>440</v>
      </c>
      <c r="Q82" t="s">
        <v>51</v>
      </c>
      <c r="R82" t="s">
        <v>659</v>
      </c>
      <c r="S82" t="s">
        <v>422</v>
      </c>
      <c r="T82" t="s">
        <v>507</v>
      </c>
      <c r="W82">
        <v>46068.625</v>
      </c>
      <c r="X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 t="s">
        <v>428</v>
      </c>
      <c r="AG82" t="s">
        <v>429</v>
      </c>
      <c r="AH82" t="s">
        <v>428</v>
      </c>
      <c r="AI82" t="s">
        <v>428</v>
      </c>
      <c r="AK82" t="s">
        <v>474</v>
      </c>
      <c r="AM82" t="s">
        <v>430</v>
      </c>
      <c r="AN82" t="s">
        <v>430</v>
      </c>
      <c r="AO82" t="s">
        <v>446</v>
      </c>
      <c r="AQ82">
        <v>0</v>
      </c>
      <c r="AR82">
        <v>0</v>
      </c>
      <c r="AS82">
        <v>23.464100000000002</v>
      </c>
      <c r="AT82">
        <v>78</v>
      </c>
      <c r="AU82">
        <v>63.800000000000004</v>
      </c>
      <c r="AV82">
        <v>23.464100000000002</v>
      </c>
      <c r="AW82">
        <v>78</v>
      </c>
      <c r="AX82">
        <v>63.800000000000004</v>
      </c>
      <c r="AY82">
        <v>0</v>
      </c>
      <c r="AZ82">
        <v>23.91</v>
      </c>
      <c r="BA82">
        <v>80.100000000000009</v>
      </c>
      <c r="BB82">
        <v>63.800000000000004</v>
      </c>
      <c r="BC82">
        <v>0</v>
      </c>
      <c r="BD82">
        <v>46067</v>
      </c>
      <c r="BE82">
        <v>46078</v>
      </c>
    </row>
    <row r="83" spans="1:57" ht="15.2" customHeight="1" x14ac:dyDescent="0.25">
      <c r="A83" t="s">
        <v>287</v>
      </c>
      <c r="B83" t="s">
        <v>666</v>
      </c>
      <c r="C83" t="s">
        <v>531</v>
      </c>
      <c r="D83" t="s">
        <v>642</v>
      </c>
      <c r="E83" t="s">
        <v>420</v>
      </c>
      <c r="F83" t="s">
        <v>651</v>
      </c>
      <c r="G83" t="s">
        <v>421</v>
      </c>
      <c r="H83" t="s">
        <v>579</v>
      </c>
      <c r="I83" t="s">
        <v>422</v>
      </c>
      <c r="L83" t="s">
        <v>644</v>
      </c>
      <c r="N83" t="s">
        <v>520</v>
      </c>
      <c r="O83" t="s">
        <v>38</v>
      </c>
      <c r="P83" t="s">
        <v>440</v>
      </c>
      <c r="Q83" t="s">
        <v>51</v>
      </c>
      <c r="R83" t="s">
        <v>522</v>
      </c>
      <c r="T83" t="s">
        <v>507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428</v>
      </c>
      <c r="AG83" t="s">
        <v>429</v>
      </c>
      <c r="AH83" t="s">
        <v>428</v>
      </c>
      <c r="AI83" t="s">
        <v>429</v>
      </c>
      <c r="AK83" t="s">
        <v>430</v>
      </c>
      <c r="AM83" t="s">
        <v>430</v>
      </c>
      <c r="AN83" t="s">
        <v>431</v>
      </c>
      <c r="AO83" t="s">
        <v>432</v>
      </c>
      <c r="AQ83">
        <v>0</v>
      </c>
      <c r="AR83">
        <v>0</v>
      </c>
      <c r="AS83">
        <v>23.464100000000002</v>
      </c>
      <c r="AT83">
        <v>78</v>
      </c>
      <c r="AU83">
        <v>63.800000000000004</v>
      </c>
      <c r="AV83">
        <v>23.464100000000002</v>
      </c>
      <c r="AW83">
        <v>78</v>
      </c>
      <c r="AX83">
        <v>63.800000000000004</v>
      </c>
      <c r="AY83">
        <v>0</v>
      </c>
      <c r="AZ83">
        <v>26.6</v>
      </c>
      <c r="BA83">
        <v>89</v>
      </c>
      <c r="BB83">
        <v>63.800000000000004</v>
      </c>
      <c r="BC83">
        <v>0</v>
      </c>
      <c r="BD83">
        <v>46050</v>
      </c>
      <c r="BE83">
        <v>46078</v>
      </c>
    </row>
    <row r="84" spans="1:57" ht="15.2" customHeight="1" x14ac:dyDescent="0.25">
      <c r="A84" t="s">
        <v>667</v>
      </c>
      <c r="B84" t="s">
        <v>668</v>
      </c>
      <c r="C84" t="s">
        <v>669</v>
      </c>
      <c r="D84" t="s">
        <v>642</v>
      </c>
      <c r="E84" t="s">
        <v>420</v>
      </c>
      <c r="F84" t="s">
        <v>651</v>
      </c>
      <c r="G84" t="s">
        <v>421</v>
      </c>
      <c r="H84" t="s">
        <v>579</v>
      </c>
      <c r="I84" t="s">
        <v>541</v>
      </c>
      <c r="L84" t="s">
        <v>492</v>
      </c>
      <c r="N84" t="s">
        <v>424</v>
      </c>
      <c r="O84" t="s">
        <v>670</v>
      </c>
      <c r="P84" t="s">
        <v>425</v>
      </c>
      <c r="Q84" t="s">
        <v>48</v>
      </c>
      <c r="R84" t="s">
        <v>671</v>
      </c>
      <c r="S84" t="s">
        <v>541</v>
      </c>
      <c r="T84" t="s">
        <v>672</v>
      </c>
      <c r="W84">
        <v>46040.541666666664</v>
      </c>
      <c r="X84">
        <v>46058.708333333336</v>
      </c>
      <c r="Z84">
        <v>436</v>
      </c>
      <c r="AA84">
        <v>399.67</v>
      </c>
      <c r="AB84">
        <v>402.87</v>
      </c>
      <c r="AC84">
        <v>249.75</v>
      </c>
      <c r="AD84">
        <v>252.75</v>
      </c>
      <c r="AE84">
        <v>146.92000000000002</v>
      </c>
      <c r="AF84" t="s">
        <v>428</v>
      </c>
      <c r="AG84" t="s">
        <v>429</v>
      </c>
      <c r="AH84" t="s">
        <v>429</v>
      </c>
      <c r="AI84" t="s">
        <v>428</v>
      </c>
      <c r="AJ84" t="s">
        <v>474</v>
      </c>
      <c r="AK84" t="s">
        <v>474</v>
      </c>
      <c r="AN84" t="s">
        <v>498</v>
      </c>
      <c r="AO84" t="s">
        <v>446</v>
      </c>
      <c r="AQ84">
        <v>472439.28</v>
      </c>
      <c r="AR84">
        <v>472439.28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176.8</v>
      </c>
      <c r="BA84">
        <v>497</v>
      </c>
      <c r="BB84">
        <v>57.2</v>
      </c>
      <c r="BC84">
        <v>0</v>
      </c>
      <c r="BD84">
        <v>46038</v>
      </c>
      <c r="BE84">
        <v>46046</v>
      </c>
    </row>
    <row r="85" spans="1:57" ht="15.2" customHeight="1" x14ac:dyDescent="0.25">
      <c r="A85" t="s">
        <v>106</v>
      </c>
      <c r="B85" t="s">
        <v>673</v>
      </c>
      <c r="C85" t="s">
        <v>669</v>
      </c>
      <c r="D85" t="s">
        <v>642</v>
      </c>
      <c r="E85" t="s">
        <v>420</v>
      </c>
      <c r="F85" t="s">
        <v>651</v>
      </c>
      <c r="G85" t="s">
        <v>421</v>
      </c>
      <c r="L85" t="s">
        <v>644</v>
      </c>
      <c r="N85" t="s">
        <v>424</v>
      </c>
      <c r="P85" t="s">
        <v>425</v>
      </c>
      <c r="Q85" t="s">
        <v>154</v>
      </c>
      <c r="R85" t="s">
        <v>674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 t="s">
        <v>428</v>
      </c>
      <c r="AG85" t="s">
        <v>429</v>
      </c>
      <c r="AH85" t="s">
        <v>429</v>
      </c>
      <c r="AI85" t="s">
        <v>429</v>
      </c>
      <c r="AJ85" t="s">
        <v>430</v>
      </c>
      <c r="AK85" t="s">
        <v>430</v>
      </c>
      <c r="AN85" t="s">
        <v>431</v>
      </c>
      <c r="AO85" t="s">
        <v>432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53</v>
      </c>
      <c r="BA85">
        <v>65</v>
      </c>
      <c r="BB85">
        <v>1</v>
      </c>
      <c r="BC85">
        <v>0</v>
      </c>
      <c r="BD85">
        <v>46071</v>
      </c>
      <c r="BE85">
        <v>46073</v>
      </c>
    </row>
    <row r="86" spans="1:57" ht="15.2" customHeight="1" x14ac:dyDescent="0.25">
      <c r="A86" t="s">
        <v>106</v>
      </c>
      <c r="B86" t="s">
        <v>673</v>
      </c>
      <c r="C86" t="s">
        <v>669</v>
      </c>
      <c r="D86" t="s">
        <v>642</v>
      </c>
      <c r="E86" t="s">
        <v>420</v>
      </c>
      <c r="F86" t="s">
        <v>651</v>
      </c>
      <c r="G86" t="s">
        <v>421</v>
      </c>
      <c r="L86" t="s">
        <v>644</v>
      </c>
      <c r="N86" t="s">
        <v>424</v>
      </c>
      <c r="O86" t="s">
        <v>675</v>
      </c>
      <c r="P86" t="s">
        <v>425</v>
      </c>
      <c r="Q86" t="s">
        <v>272</v>
      </c>
      <c r="R86" t="s">
        <v>676</v>
      </c>
      <c r="W86">
        <v>46010.145833333336</v>
      </c>
      <c r="X86">
        <v>46059.208333333336</v>
      </c>
      <c r="Z86">
        <v>1177.5</v>
      </c>
      <c r="AA86">
        <v>1079.3800000000001</v>
      </c>
      <c r="AB86">
        <v>980.69</v>
      </c>
      <c r="AC86">
        <v>407.5</v>
      </c>
      <c r="AD86">
        <v>453.5</v>
      </c>
      <c r="AE86">
        <v>625.88</v>
      </c>
      <c r="AF86" t="s">
        <v>428</v>
      </c>
      <c r="AG86" t="s">
        <v>429</v>
      </c>
      <c r="AH86" t="s">
        <v>429</v>
      </c>
      <c r="AI86" t="s">
        <v>428</v>
      </c>
      <c r="AJ86" t="s">
        <v>474</v>
      </c>
      <c r="AK86" t="s">
        <v>474</v>
      </c>
      <c r="AN86" t="s">
        <v>498</v>
      </c>
      <c r="AO86" t="s">
        <v>446</v>
      </c>
      <c r="AQ86">
        <v>33949470.07</v>
      </c>
      <c r="AR86">
        <v>33949470.07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53.800000000000004</v>
      </c>
      <c r="BA86">
        <v>66</v>
      </c>
      <c r="BB86">
        <v>1</v>
      </c>
      <c r="BC86">
        <v>0</v>
      </c>
      <c r="BD86">
        <v>46011</v>
      </c>
      <c r="BE86">
        <v>46051</v>
      </c>
    </row>
    <row r="87" spans="1:57" ht="15.2" customHeight="1" x14ac:dyDescent="0.25">
      <c r="A87" t="s">
        <v>677</v>
      </c>
      <c r="B87" t="s">
        <v>678</v>
      </c>
      <c r="C87" t="s">
        <v>679</v>
      </c>
      <c r="D87" t="s">
        <v>489</v>
      </c>
      <c r="E87" t="s">
        <v>420</v>
      </c>
      <c r="F87" t="s">
        <v>622</v>
      </c>
      <c r="G87" t="s">
        <v>469</v>
      </c>
      <c r="H87" t="s">
        <v>579</v>
      </c>
      <c r="I87" t="s">
        <v>422</v>
      </c>
      <c r="L87" t="s">
        <v>492</v>
      </c>
      <c r="N87" t="s">
        <v>424</v>
      </c>
      <c r="O87" t="s">
        <v>670</v>
      </c>
      <c r="P87" t="s">
        <v>425</v>
      </c>
      <c r="Q87" t="s">
        <v>157</v>
      </c>
      <c r="R87" t="s">
        <v>680</v>
      </c>
      <c r="S87" t="s">
        <v>422</v>
      </c>
      <c r="T87" t="s">
        <v>507</v>
      </c>
      <c r="W87">
        <v>46058.708333333336</v>
      </c>
      <c r="X87">
        <v>46066.541666666664</v>
      </c>
      <c r="Y87">
        <v>45596</v>
      </c>
      <c r="Z87">
        <v>181.5</v>
      </c>
      <c r="AA87">
        <v>166.38</v>
      </c>
      <c r="AB87">
        <v>169.85</v>
      </c>
      <c r="AC87">
        <v>0</v>
      </c>
      <c r="AD87">
        <v>1.75</v>
      </c>
      <c r="AE87">
        <v>164.63</v>
      </c>
      <c r="AF87" t="s">
        <v>428</v>
      </c>
      <c r="AG87" t="s">
        <v>429</v>
      </c>
      <c r="AH87" t="s">
        <v>429</v>
      </c>
      <c r="AI87" t="s">
        <v>428</v>
      </c>
      <c r="AJ87" t="s">
        <v>474</v>
      </c>
      <c r="AK87" t="s">
        <v>474</v>
      </c>
      <c r="AN87" t="s">
        <v>430</v>
      </c>
      <c r="AO87" t="s">
        <v>446</v>
      </c>
      <c r="AQ87">
        <v>4860068.99</v>
      </c>
      <c r="AR87">
        <v>4860068.99</v>
      </c>
      <c r="AS87">
        <v>9.8280000000000012</v>
      </c>
      <c r="AT87">
        <v>200</v>
      </c>
      <c r="AU87">
        <v>94</v>
      </c>
      <c r="AV87">
        <v>9.8280000000000012</v>
      </c>
      <c r="AW87">
        <v>200</v>
      </c>
      <c r="AX87">
        <v>94</v>
      </c>
      <c r="AY87">
        <v>0</v>
      </c>
      <c r="AZ87">
        <v>9.2000000000000011</v>
      </c>
      <c r="BA87">
        <v>188</v>
      </c>
      <c r="BB87">
        <v>94</v>
      </c>
      <c r="BC87">
        <v>0</v>
      </c>
      <c r="BD87">
        <v>46058</v>
      </c>
      <c r="BE87">
        <v>46068</v>
      </c>
    </row>
    <row r="88" spans="1:57" ht="15.2" customHeight="1" x14ac:dyDescent="0.25">
      <c r="A88" t="s">
        <v>677</v>
      </c>
      <c r="B88" t="s">
        <v>678</v>
      </c>
      <c r="C88" t="s">
        <v>679</v>
      </c>
      <c r="D88" t="s">
        <v>489</v>
      </c>
      <c r="E88" t="s">
        <v>420</v>
      </c>
      <c r="F88" t="s">
        <v>622</v>
      </c>
      <c r="G88" t="s">
        <v>469</v>
      </c>
      <c r="H88" t="s">
        <v>579</v>
      </c>
      <c r="I88" t="s">
        <v>422</v>
      </c>
      <c r="L88" t="s">
        <v>492</v>
      </c>
      <c r="N88" t="s">
        <v>424</v>
      </c>
      <c r="O88" t="s">
        <v>608</v>
      </c>
      <c r="P88" t="s">
        <v>440</v>
      </c>
      <c r="Q88" t="s">
        <v>594</v>
      </c>
      <c r="R88" t="s">
        <v>681</v>
      </c>
      <c r="S88" t="s">
        <v>422</v>
      </c>
      <c r="T88" t="s">
        <v>507</v>
      </c>
      <c r="W88">
        <v>46057.8125</v>
      </c>
      <c r="X88">
        <v>46058.916666666664</v>
      </c>
      <c r="Z88">
        <v>26.5</v>
      </c>
      <c r="AA88">
        <v>24.29</v>
      </c>
      <c r="AB88">
        <v>0</v>
      </c>
      <c r="AC88">
        <v>4</v>
      </c>
      <c r="AD88">
        <v>4</v>
      </c>
      <c r="AE88">
        <v>20.29</v>
      </c>
      <c r="AF88" t="s">
        <v>429</v>
      </c>
      <c r="AG88" t="s">
        <v>429</v>
      </c>
      <c r="AH88" t="s">
        <v>429</v>
      </c>
      <c r="AI88" t="s">
        <v>429</v>
      </c>
      <c r="AN88" t="s">
        <v>431</v>
      </c>
      <c r="AO88" t="s">
        <v>432</v>
      </c>
      <c r="AQ88">
        <v>0</v>
      </c>
      <c r="AR88">
        <v>0</v>
      </c>
      <c r="AS88">
        <v>9.8280000000000012</v>
      </c>
      <c r="AT88">
        <v>200</v>
      </c>
      <c r="AU88">
        <v>94</v>
      </c>
      <c r="AV88">
        <v>9.8280000000000012</v>
      </c>
      <c r="AW88">
        <v>200</v>
      </c>
      <c r="AX88">
        <v>94</v>
      </c>
      <c r="AY88">
        <v>0</v>
      </c>
      <c r="AZ88">
        <v>9.8280000000000012</v>
      </c>
      <c r="BA88">
        <v>200</v>
      </c>
      <c r="BB88">
        <v>94</v>
      </c>
      <c r="BC88">
        <v>0</v>
      </c>
      <c r="BD88">
        <v>46057</v>
      </c>
      <c r="BE88">
        <v>46059</v>
      </c>
    </row>
    <row r="89" spans="1:57" ht="15.2" customHeight="1" x14ac:dyDescent="0.25">
      <c r="A89" t="s">
        <v>677</v>
      </c>
      <c r="B89" t="s">
        <v>678</v>
      </c>
      <c r="C89" t="s">
        <v>679</v>
      </c>
      <c r="D89" t="s">
        <v>489</v>
      </c>
      <c r="E89" t="s">
        <v>420</v>
      </c>
      <c r="F89" t="s">
        <v>622</v>
      </c>
      <c r="G89" t="s">
        <v>469</v>
      </c>
      <c r="H89" t="s">
        <v>579</v>
      </c>
      <c r="I89" t="s">
        <v>422</v>
      </c>
      <c r="L89" t="s">
        <v>492</v>
      </c>
      <c r="N89" t="s">
        <v>424</v>
      </c>
      <c r="O89" t="s">
        <v>670</v>
      </c>
      <c r="P89" t="s">
        <v>440</v>
      </c>
      <c r="Q89" t="s">
        <v>51</v>
      </c>
      <c r="R89" t="s">
        <v>627</v>
      </c>
      <c r="S89" t="s">
        <v>422</v>
      </c>
      <c r="T89" t="s">
        <v>507</v>
      </c>
      <c r="W89">
        <v>0</v>
      </c>
      <c r="X89">
        <v>0</v>
      </c>
      <c r="Y89">
        <v>45596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428</v>
      </c>
      <c r="AG89" t="s">
        <v>429</v>
      </c>
      <c r="AH89" t="s">
        <v>428</v>
      </c>
      <c r="AI89" t="s">
        <v>429</v>
      </c>
      <c r="AK89" t="s">
        <v>430</v>
      </c>
      <c r="AM89" t="s">
        <v>430</v>
      </c>
      <c r="AN89" t="s">
        <v>431</v>
      </c>
      <c r="AO89" t="s">
        <v>432</v>
      </c>
      <c r="AQ89">
        <v>0</v>
      </c>
      <c r="AR89">
        <v>0</v>
      </c>
      <c r="AS89">
        <v>9.8280000000000012</v>
      </c>
      <c r="AT89">
        <v>200</v>
      </c>
      <c r="AU89">
        <v>94</v>
      </c>
      <c r="AV89">
        <v>4.7174000000000005</v>
      </c>
      <c r="AW89">
        <v>192</v>
      </c>
      <c r="AX89">
        <v>97</v>
      </c>
      <c r="AY89">
        <v>0</v>
      </c>
      <c r="AZ89">
        <v>9.8280000000000012</v>
      </c>
      <c r="BA89">
        <v>200</v>
      </c>
      <c r="BB89">
        <v>94</v>
      </c>
      <c r="BC89">
        <v>0</v>
      </c>
      <c r="BD89">
        <v>46057</v>
      </c>
      <c r="BE89">
        <v>46069</v>
      </c>
    </row>
    <row r="90" spans="1:57" ht="15.2" customHeight="1" x14ac:dyDescent="0.25">
      <c r="A90" t="s">
        <v>682</v>
      </c>
      <c r="B90" t="s">
        <v>683</v>
      </c>
      <c r="C90" t="s">
        <v>679</v>
      </c>
      <c r="D90" t="s">
        <v>489</v>
      </c>
      <c r="E90" t="s">
        <v>420</v>
      </c>
      <c r="F90" t="s">
        <v>622</v>
      </c>
      <c r="G90" t="s">
        <v>469</v>
      </c>
      <c r="H90" t="s">
        <v>579</v>
      </c>
      <c r="I90" t="s">
        <v>422</v>
      </c>
      <c r="L90" t="s">
        <v>492</v>
      </c>
      <c r="N90" t="s">
        <v>424</v>
      </c>
      <c r="P90" t="s">
        <v>440</v>
      </c>
      <c r="Q90" t="s">
        <v>537</v>
      </c>
      <c r="R90" t="s">
        <v>684</v>
      </c>
      <c r="T90" t="s">
        <v>507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428</v>
      </c>
      <c r="AG90" t="s">
        <v>429</v>
      </c>
      <c r="AH90" t="s">
        <v>429</v>
      </c>
      <c r="AI90" t="s">
        <v>429</v>
      </c>
      <c r="AK90" t="s">
        <v>474</v>
      </c>
      <c r="AN90" t="s">
        <v>431</v>
      </c>
      <c r="AO90" t="s">
        <v>432</v>
      </c>
      <c r="AQ90">
        <v>0</v>
      </c>
      <c r="AR90">
        <v>0</v>
      </c>
      <c r="AS90">
        <v>18.083500000000001</v>
      </c>
      <c r="AT90">
        <v>69</v>
      </c>
      <c r="AU90">
        <v>68</v>
      </c>
      <c r="AV90">
        <v>18.083500000000001</v>
      </c>
      <c r="AW90">
        <v>69</v>
      </c>
      <c r="AX90">
        <v>68</v>
      </c>
      <c r="AY90">
        <v>0</v>
      </c>
      <c r="AZ90">
        <v>18.083500000000001</v>
      </c>
      <c r="BA90">
        <v>69</v>
      </c>
      <c r="BB90">
        <v>68</v>
      </c>
      <c r="BC90">
        <v>0</v>
      </c>
      <c r="BD90">
        <v>46058</v>
      </c>
      <c r="BE90">
        <v>46059</v>
      </c>
    </row>
    <row r="91" spans="1:57" ht="15.2" customHeight="1" x14ac:dyDescent="0.25">
      <c r="A91" t="s">
        <v>685</v>
      </c>
      <c r="B91" t="s">
        <v>686</v>
      </c>
      <c r="C91" t="s">
        <v>687</v>
      </c>
      <c r="D91" t="s">
        <v>518</v>
      </c>
      <c r="E91" t="s">
        <v>420</v>
      </c>
      <c r="F91" t="s">
        <v>519</v>
      </c>
      <c r="G91" t="s">
        <v>421</v>
      </c>
      <c r="H91" t="s">
        <v>544</v>
      </c>
      <c r="I91" t="s">
        <v>422</v>
      </c>
      <c r="L91" t="s">
        <v>492</v>
      </c>
      <c r="N91" t="s">
        <v>555</v>
      </c>
      <c r="O91" t="s">
        <v>556</v>
      </c>
      <c r="P91" t="s">
        <v>425</v>
      </c>
      <c r="Q91" t="s">
        <v>557</v>
      </c>
      <c r="R91" t="s">
        <v>688</v>
      </c>
      <c r="T91" t="s">
        <v>507</v>
      </c>
      <c r="W91">
        <v>46028.375</v>
      </c>
      <c r="X91">
        <v>46067.541666666664</v>
      </c>
      <c r="Y91">
        <v>0</v>
      </c>
      <c r="Z91">
        <v>52</v>
      </c>
      <c r="AA91">
        <v>44.800000000000004</v>
      </c>
      <c r="AB91">
        <v>0</v>
      </c>
      <c r="AC91">
        <v>0</v>
      </c>
      <c r="AD91">
        <v>0</v>
      </c>
      <c r="AE91">
        <v>44.800000000000004</v>
      </c>
      <c r="AF91" t="s">
        <v>428</v>
      </c>
      <c r="AG91" t="s">
        <v>429</v>
      </c>
      <c r="AH91" t="s">
        <v>429</v>
      </c>
      <c r="AI91" t="s">
        <v>429</v>
      </c>
      <c r="AJ91" t="s">
        <v>474</v>
      </c>
      <c r="AK91" t="s">
        <v>474</v>
      </c>
      <c r="AN91" t="s">
        <v>431</v>
      </c>
      <c r="AO91" t="s">
        <v>432</v>
      </c>
      <c r="AQ91">
        <v>0</v>
      </c>
      <c r="AR91">
        <v>0</v>
      </c>
      <c r="AS91">
        <v>18.8017</v>
      </c>
      <c r="AT91">
        <v>1080</v>
      </c>
      <c r="AU91">
        <v>97.9</v>
      </c>
      <c r="AV91">
        <v>18.8017</v>
      </c>
      <c r="AW91">
        <v>1080</v>
      </c>
      <c r="AX91">
        <v>97.9</v>
      </c>
      <c r="AY91">
        <v>0</v>
      </c>
      <c r="AZ91">
        <v>18.8017</v>
      </c>
      <c r="BA91">
        <v>1080</v>
      </c>
      <c r="BB91">
        <v>97.9</v>
      </c>
      <c r="BC91">
        <v>0</v>
      </c>
      <c r="BD91">
        <v>46020</v>
      </c>
      <c r="BE91">
        <v>46053</v>
      </c>
    </row>
    <row r="92" spans="1:57" ht="15.2" customHeight="1" x14ac:dyDescent="0.25">
      <c r="A92" t="s">
        <v>689</v>
      </c>
      <c r="B92" t="s">
        <v>690</v>
      </c>
      <c r="C92" t="s">
        <v>691</v>
      </c>
      <c r="D92" t="s">
        <v>419</v>
      </c>
      <c r="E92" t="s">
        <v>420</v>
      </c>
      <c r="F92" t="s">
        <v>589</v>
      </c>
      <c r="G92" t="s">
        <v>421</v>
      </c>
      <c r="L92" t="s">
        <v>492</v>
      </c>
      <c r="N92" t="s">
        <v>424</v>
      </c>
      <c r="O92" t="s">
        <v>692</v>
      </c>
      <c r="P92" t="s">
        <v>425</v>
      </c>
      <c r="Q92" t="s">
        <v>144</v>
      </c>
      <c r="R92" t="s">
        <v>478</v>
      </c>
      <c r="W92">
        <v>0</v>
      </c>
      <c r="X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428</v>
      </c>
      <c r="AG92" t="s">
        <v>429</v>
      </c>
      <c r="AH92" t="s">
        <v>429</v>
      </c>
      <c r="AI92" t="s">
        <v>429</v>
      </c>
      <c r="AJ92" t="s">
        <v>474</v>
      </c>
      <c r="AK92" t="s">
        <v>474</v>
      </c>
      <c r="AN92" t="s">
        <v>431</v>
      </c>
      <c r="AO92" t="s">
        <v>432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46032</v>
      </c>
      <c r="BE92">
        <v>46379</v>
      </c>
    </row>
    <row r="93" spans="1:57" ht="15.2" customHeight="1" x14ac:dyDescent="0.25">
      <c r="A93" t="s">
        <v>195</v>
      </c>
      <c r="B93" t="s">
        <v>693</v>
      </c>
      <c r="C93" t="s">
        <v>496</v>
      </c>
      <c r="D93" t="s">
        <v>518</v>
      </c>
      <c r="E93" t="s">
        <v>420</v>
      </c>
      <c r="F93" t="s">
        <v>519</v>
      </c>
      <c r="G93" t="s">
        <v>421</v>
      </c>
      <c r="H93" t="s">
        <v>544</v>
      </c>
      <c r="I93" t="s">
        <v>422</v>
      </c>
      <c r="L93" t="s">
        <v>492</v>
      </c>
      <c r="N93" t="s">
        <v>520</v>
      </c>
      <c r="O93" t="s">
        <v>521</v>
      </c>
      <c r="P93" t="s">
        <v>440</v>
      </c>
      <c r="Q93" t="s">
        <v>51</v>
      </c>
      <c r="R93" t="s">
        <v>694</v>
      </c>
      <c r="S93" t="s">
        <v>422</v>
      </c>
      <c r="T93" t="s">
        <v>507</v>
      </c>
      <c r="W93">
        <v>46051.791666666664</v>
      </c>
      <c r="X93">
        <v>46067.958333333336</v>
      </c>
      <c r="Y93">
        <v>45443</v>
      </c>
      <c r="Z93">
        <v>388</v>
      </c>
      <c r="AA93">
        <v>362.13</v>
      </c>
      <c r="AB93">
        <v>349.57</v>
      </c>
      <c r="AC93">
        <v>34.6</v>
      </c>
      <c r="AD93">
        <v>40.6</v>
      </c>
      <c r="AE93">
        <v>321.53000000000003</v>
      </c>
      <c r="AF93" t="s">
        <v>428</v>
      </c>
      <c r="AG93" t="s">
        <v>429</v>
      </c>
      <c r="AH93" t="s">
        <v>428</v>
      </c>
      <c r="AI93" t="s">
        <v>428</v>
      </c>
      <c r="AK93" t="s">
        <v>474</v>
      </c>
      <c r="AM93" t="s">
        <v>430</v>
      </c>
      <c r="AN93" t="s">
        <v>430</v>
      </c>
      <c r="AO93" t="s">
        <v>446</v>
      </c>
      <c r="AQ93">
        <v>9691031.0999999996</v>
      </c>
      <c r="AR93">
        <v>9691031.0999999996</v>
      </c>
      <c r="AS93">
        <v>21.877300000000002</v>
      </c>
      <c r="AT93">
        <v>29</v>
      </c>
      <c r="AU93">
        <v>9</v>
      </c>
      <c r="AV93">
        <v>21.877300000000002</v>
      </c>
      <c r="AW93">
        <v>29</v>
      </c>
      <c r="AX93">
        <v>9</v>
      </c>
      <c r="AY93">
        <v>0</v>
      </c>
      <c r="AZ93">
        <v>21.8</v>
      </c>
      <c r="BA93">
        <v>28.900000000000002</v>
      </c>
      <c r="BB93">
        <v>9</v>
      </c>
      <c r="BC93">
        <v>0</v>
      </c>
      <c r="BD93">
        <v>46052</v>
      </c>
      <c r="BE93">
        <v>46064</v>
      </c>
    </row>
    <row r="94" spans="1:57" ht="15.2" customHeight="1" x14ac:dyDescent="0.25">
      <c r="A94" t="s">
        <v>695</v>
      </c>
      <c r="B94" t="s">
        <v>696</v>
      </c>
      <c r="C94" t="s">
        <v>634</v>
      </c>
      <c r="D94" t="s">
        <v>518</v>
      </c>
      <c r="E94" t="s">
        <v>420</v>
      </c>
      <c r="F94" t="s">
        <v>519</v>
      </c>
      <c r="G94" t="s">
        <v>421</v>
      </c>
      <c r="H94" t="s">
        <v>503</v>
      </c>
      <c r="I94" t="s">
        <v>422</v>
      </c>
      <c r="L94" t="s">
        <v>492</v>
      </c>
      <c r="N94" t="s">
        <v>424</v>
      </c>
      <c r="O94" t="s">
        <v>574</v>
      </c>
      <c r="P94" t="s">
        <v>440</v>
      </c>
      <c r="Q94" t="s">
        <v>51</v>
      </c>
      <c r="R94" t="s">
        <v>697</v>
      </c>
      <c r="S94" t="s">
        <v>422</v>
      </c>
      <c r="T94" t="s">
        <v>507</v>
      </c>
      <c r="W94">
        <v>46033.541666666664</v>
      </c>
      <c r="X94">
        <v>46055.208333333336</v>
      </c>
      <c r="Y94">
        <v>46029</v>
      </c>
      <c r="Z94">
        <v>520</v>
      </c>
      <c r="AA94">
        <v>476.67</v>
      </c>
      <c r="AB94">
        <v>489.67</v>
      </c>
      <c r="AC94">
        <v>346.5</v>
      </c>
      <c r="AD94">
        <v>346.5</v>
      </c>
      <c r="AE94">
        <v>130.17000000000002</v>
      </c>
      <c r="AF94" t="s">
        <v>428</v>
      </c>
      <c r="AG94" t="s">
        <v>429</v>
      </c>
      <c r="AH94" t="s">
        <v>429</v>
      </c>
      <c r="AI94" t="s">
        <v>428</v>
      </c>
      <c r="AK94" t="s">
        <v>474</v>
      </c>
      <c r="AN94" t="s">
        <v>498</v>
      </c>
      <c r="AO94" t="s">
        <v>446</v>
      </c>
      <c r="AQ94">
        <v>7923981.4699999997</v>
      </c>
      <c r="AR94">
        <v>7923981.4699999997</v>
      </c>
      <c r="AS94">
        <v>65.132900000000006</v>
      </c>
      <c r="AT94">
        <v>644</v>
      </c>
      <c r="AU94">
        <v>87.8</v>
      </c>
      <c r="AV94">
        <v>28.360100000000003</v>
      </c>
      <c r="AW94">
        <v>622</v>
      </c>
      <c r="AX94">
        <v>94.5</v>
      </c>
      <c r="AY94">
        <v>0</v>
      </c>
      <c r="AZ94">
        <v>54.800000000000004</v>
      </c>
      <c r="BA94">
        <v>1202</v>
      </c>
      <c r="BB94">
        <v>94.5</v>
      </c>
      <c r="BC94">
        <v>0</v>
      </c>
      <c r="BD94">
        <v>46031</v>
      </c>
      <c r="BE94">
        <v>46046</v>
      </c>
    </row>
    <row r="95" spans="1:57" ht="15.2" customHeight="1" x14ac:dyDescent="0.25">
      <c r="A95" t="s">
        <v>292</v>
      </c>
      <c r="B95" t="s">
        <v>517</v>
      </c>
      <c r="C95" t="s">
        <v>517</v>
      </c>
      <c r="D95" t="s">
        <v>698</v>
      </c>
      <c r="E95" t="s">
        <v>420</v>
      </c>
      <c r="F95" t="s">
        <v>699</v>
      </c>
      <c r="G95" t="s">
        <v>469</v>
      </c>
      <c r="H95" t="s">
        <v>598</v>
      </c>
      <c r="I95" t="s">
        <v>422</v>
      </c>
      <c r="L95" t="s">
        <v>472</v>
      </c>
      <c r="N95" t="s">
        <v>424</v>
      </c>
      <c r="P95" t="s">
        <v>440</v>
      </c>
      <c r="Q95" t="s">
        <v>51</v>
      </c>
      <c r="R95" t="s">
        <v>627</v>
      </c>
      <c r="T95" t="s">
        <v>507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428</v>
      </c>
      <c r="AG95" t="s">
        <v>429</v>
      </c>
      <c r="AH95" t="s">
        <v>428</v>
      </c>
      <c r="AI95" t="s">
        <v>429</v>
      </c>
      <c r="AK95" t="s">
        <v>430</v>
      </c>
      <c r="AM95" t="s">
        <v>485</v>
      </c>
      <c r="AN95" t="s">
        <v>431</v>
      </c>
      <c r="AO95" t="s">
        <v>432</v>
      </c>
      <c r="AQ95">
        <v>0</v>
      </c>
      <c r="AR95">
        <v>0</v>
      </c>
      <c r="AS95">
        <v>33.826799999999999</v>
      </c>
      <c r="AT95">
        <v>485</v>
      </c>
      <c r="AU95">
        <v>91.4</v>
      </c>
      <c r="AV95">
        <v>25.108600000000003</v>
      </c>
      <c r="AW95">
        <v>516</v>
      </c>
      <c r="AX95">
        <v>94</v>
      </c>
      <c r="AY95">
        <v>0</v>
      </c>
      <c r="AZ95">
        <v>33.826799999999999</v>
      </c>
      <c r="BA95">
        <v>485</v>
      </c>
      <c r="BB95">
        <v>91.4</v>
      </c>
      <c r="BC95">
        <v>0</v>
      </c>
      <c r="BD95">
        <v>46047</v>
      </c>
      <c r="BE95">
        <v>46057</v>
      </c>
    </row>
    <row r="96" spans="1:57" ht="15.2" customHeight="1" x14ac:dyDescent="0.25">
      <c r="A96" t="s">
        <v>347</v>
      </c>
      <c r="B96" t="s">
        <v>700</v>
      </c>
      <c r="D96" t="s">
        <v>701</v>
      </c>
      <c r="E96" t="s">
        <v>420</v>
      </c>
      <c r="G96" t="s">
        <v>421</v>
      </c>
      <c r="I96" t="s">
        <v>422</v>
      </c>
      <c r="L96" t="s">
        <v>423</v>
      </c>
      <c r="N96" t="s">
        <v>424</v>
      </c>
      <c r="O96" t="s">
        <v>692</v>
      </c>
      <c r="P96" t="s">
        <v>440</v>
      </c>
      <c r="Q96" t="s">
        <v>53</v>
      </c>
      <c r="R96" t="s">
        <v>702</v>
      </c>
      <c r="S96" t="s">
        <v>422</v>
      </c>
      <c r="T96" t="s">
        <v>427</v>
      </c>
      <c r="W96">
        <v>46058.333333333336</v>
      </c>
      <c r="X96">
        <v>0</v>
      </c>
      <c r="Y96">
        <v>45785</v>
      </c>
      <c r="Z96">
        <v>0</v>
      </c>
      <c r="AA96">
        <v>0</v>
      </c>
      <c r="AB96">
        <v>24.11</v>
      </c>
      <c r="AC96">
        <v>0</v>
      </c>
      <c r="AD96">
        <v>0</v>
      </c>
      <c r="AE96">
        <v>0</v>
      </c>
      <c r="AF96" t="s">
        <v>428</v>
      </c>
      <c r="AG96" t="s">
        <v>429</v>
      </c>
      <c r="AH96" t="s">
        <v>429</v>
      </c>
      <c r="AI96" t="s">
        <v>428</v>
      </c>
      <c r="AK96" t="s">
        <v>430</v>
      </c>
      <c r="AN96" t="s">
        <v>430</v>
      </c>
      <c r="AO96" t="s">
        <v>446</v>
      </c>
      <c r="AQ96">
        <v>703948.81</v>
      </c>
      <c r="AR96">
        <v>703948.81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300</v>
      </c>
      <c r="BB96">
        <v>100</v>
      </c>
      <c r="BC96">
        <v>0</v>
      </c>
      <c r="BD96">
        <v>46055</v>
      </c>
      <c r="BE96">
        <v>46063</v>
      </c>
    </row>
    <row r="97" spans="1:57" ht="15.2" customHeight="1" x14ac:dyDescent="0.25">
      <c r="A97" t="s">
        <v>216</v>
      </c>
      <c r="B97" t="s">
        <v>703</v>
      </c>
      <c r="C97" t="s">
        <v>704</v>
      </c>
      <c r="D97" t="s">
        <v>642</v>
      </c>
      <c r="E97" t="s">
        <v>420</v>
      </c>
      <c r="F97" t="s">
        <v>651</v>
      </c>
      <c r="G97" t="s">
        <v>421</v>
      </c>
      <c r="H97" t="s">
        <v>544</v>
      </c>
      <c r="I97" t="s">
        <v>422</v>
      </c>
      <c r="L97" t="s">
        <v>644</v>
      </c>
      <c r="N97" t="s">
        <v>424</v>
      </c>
      <c r="O97" t="s">
        <v>675</v>
      </c>
      <c r="P97" t="s">
        <v>425</v>
      </c>
      <c r="Q97" t="s">
        <v>84</v>
      </c>
      <c r="R97" t="s">
        <v>645</v>
      </c>
      <c r="S97" t="s">
        <v>422</v>
      </c>
      <c r="T97" t="s">
        <v>507</v>
      </c>
      <c r="W97">
        <v>46059.208333333336</v>
      </c>
      <c r="X97">
        <v>46062.604166666664</v>
      </c>
      <c r="Y97">
        <v>45692</v>
      </c>
      <c r="Z97">
        <v>81.5</v>
      </c>
      <c r="AA97">
        <v>74.710000000000008</v>
      </c>
      <c r="AB97">
        <v>23.73</v>
      </c>
      <c r="AC97">
        <v>0</v>
      </c>
      <c r="AD97">
        <v>17</v>
      </c>
      <c r="AE97">
        <v>57.71</v>
      </c>
      <c r="AF97" t="s">
        <v>428</v>
      </c>
      <c r="AG97" t="s">
        <v>429</v>
      </c>
      <c r="AH97" t="s">
        <v>429</v>
      </c>
      <c r="AI97" t="s">
        <v>428</v>
      </c>
      <c r="AJ97" t="s">
        <v>474</v>
      </c>
      <c r="AK97" t="s">
        <v>474</v>
      </c>
      <c r="AN97" t="s">
        <v>485</v>
      </c>
      <c r="AO97" t="s">
        <v>446</v>
      </c>
      <c r="AQ97">
        <v>808711.65</v>
      </c>
      <c r="AR97">
        <v>808711.65</v>
      </c>
      <c r="AS97">
        <v>27.921600000000002</v>
      </c>
      <c r="AT97">
        <v>48</v>
      </c>
      <c r="AU97">
        <v>30</v>
      </c>
      <c r="AV97">
        <v>28.694400000000002</v>
      </c>
      <c r="AW97">
        <v>48</v>
      </c>
      <c r="AX97">
        <v>30</v>
      </c>
      <c r="AY97">
        <v>0</v>
      </c>
      <c r="AZ97">
        <v>27.921600000000002</v>
      </c>
      <c r="BA97">
        <v>48</v>
      </c>
      <c r="BB97">
        <v>30</v>
      </c>
      <c r="BC97">
        <v>0</v>
      </c>
      <c r="BD97">
        <v>46059</v>
      </c>
      <c r="BE97">
        <v>46065</v>
      </c>
    </row>
    <row r="98" spans="1:57" ht="15.2" customHeight="1" x14ac:dyDescent="0.25">
      <c r="A98" t="s">
        <v>216</v>
      </c>
      <c r="B98" t="s">
        <v>703</v>
      </c>
      <c r="C98" t="s">
        <v>704</v>
      </c>
      <c r="D98" t="s">
        <v>642</v>
      </c>
      <c r="E98" t="s">
        <v>420</v>
      </c>
      <c r="F98" t="s">
        <v>651</v>
      </c>
      <c r="G98" t="s">
        <v>421</v>
      </c>
      <c r="H98" t="s">
        <v>544</v>
      </c>
      <c r="I98" t="s">
        <v>422</v>
      </c>
      <c r="L98" t="s">
        <v>644</v>
      </c>
      <c r="N98" t="s">
        <v>520</v>
      </c>
      <c r="O98" t="s">
        <v>513</v>
      </c>
      <c r="P98" t="s">
        <v>440</v>
      </c>
      <c r="Q98" t="s">
        <v>51</v>
      </c>
      <c r="R98" t="s">
        <v>522</v>
      </c>
      <c r="S98" t="s">
        <v>422</v>
      </c>
      <c r="T98" t="s">
        <v>507</v>
      </c>
      <c r="W98">
        <v>46065.958333333336</v>
      </c>
      <c r="X98">
        <v>0</v>
      </c>
      <c r="Z98">
        <v>0</v>
      </c>
      <c r="AA98">
        <v>0</v>
      </c>
      <c r="AB98">
        <v>29.18</v>
      </c>
      <c r="AC98">
        <v>0</v>
      </c>
      <c r="AD98">
        <v>0</v>
      </c>
      <c r="AE98">
        <v>0</v>
      </c>
      <c r="AF98" t="s">
        <v>428</v>
      </c>
      <c r="AG98" t="s">
        <v>429</v>
      </c>
      <c r="AH98" t="s">
        <v>428</v>
      </c>
      <c r="AI98" t="s">
        <v>428</v>
      </c>
      <c r="AK98" t="s">
        <v>474</v>
      </c>
      <c r="AM98" t="s">
        <v>430</v>
      </c>
      <c r="AN98" t="s">
        <v>430</v>
      </c>
      <c r="AO98" t="s">
        <v>446</v>
      </c>
      <c r="AQ98">
        <v>702655.54</v>
      </c>
      <c r="AR98">
        <v>702655.54</v>
      </c>
      <c r="AS98">
        <v>28.694400000000002</v>
      </c>
      <c r="AT98">
        <v>48</v>
      </c>
      <c r="AU98">
        <v>30</v>
      </c>
      <c r="AV98">
        <v>28.694400000000002</v>
      </c>
      <c r="AW98">
        <v>48</v>
      </c>
      <c r="AX98">
        <v>30</v>
      </c>
      <c r="AY98">
        <v>0</v>
      </c>
      <c r="AZ98">
        <v>29.900000000000002</v>
      </c>
      <c r="BA98">
        <v>55.300000000000004</v>
      </c>
      <c r="BB98">
        <v>35</v>
      </c>
      <c r="BC98">
        <v>0</v>
      </c>
      <c r="BD98">
        <v>46064</v>
      </c>
      <c r="BE98">
        <v>46078</v>
      </c>
    </row>
    <row r="99" spans="1:57" ht="15.2" customHeight="1" x14ac:dyDescent="0.25">
      <c r="A99" t="s">
        <v>705</v>
      </c>
      <c r="B99" t="s">
        <v>706</v>
      </c>
      <c r="C99" t="s">
        <v>517</v>
      </c>
      <c r="D99" t="s">
        <v>437</v>
      </c>
      <c r="E99" t="s">
        <v>420</v>
      </c>
      <c r="F99" t="s">
        <v>501</v>
      </c>
      <c r="G99" t="s">
        <v>502</v>
      </c>
      <c r="H99" t="s">
        <v>544</v>
      </c>
      <c r="I99" t="s">
        <v>422</v>
      </c>
      <c r="L99" t="s">
        <v>504</v>
      </c>
      <c r="N99" t="s">
        <v>424</v>
      </c>
      <c r="O99" t="s">
        <v>577</v>
      </c>
      <c r="P99" t="s">
        <v>440</v>
      </c>
      <c r="Q99" t="s">
        <v>51</v>
      </c>
      <c r="R99" t="s">
        <v>627</v>
      </c>
      <c r="S99" t="s">
        <v>422</v>
      </c>
      <c r="T99" t="s">
        <v>507</v>
      </c>
      <c r="W99">
        <v>46059.75</v>
      </c>
      <c r="X99">
        <v>46070</v>
      </c>
      <c r="Y99">
        <v>45540</v>
      </c>
      <c r="Z99">
        <v>246</v>
      </c>
      <c r="AA99">
        <v>225.5</v>
      </c>
      <c r="AB99">
        <v>225.37</v>
      </c>
      <c r="AC99">
        <v>4</v>
      </c>
      <c r="AD99">
        <v>4</v>
      </c>
      <c r="AE99">
        <v>221.5</v>
      </c>
      <c r="AF99" t="s">
        <v>428</v>
      </c>
      <c r="AG99" t="s">
        <v>429</v>
      </c>
      <c r="AH99" t="s">
        <v>428</v>
      </c>
      <c r="AI99" t="s">
        <v>428</v>
      </c>
      <c r="AK99" t="s">
        <v>474</v>
      </c>
      <c r="AM99" t="s">
        <v>430</v>
      </c>
      <c r="AN99" t="s">
        <v>430</v>
      </c>
      <c r="AO99" t="s">
        <v>446</v>
      </c>
      <c r="AQ99">
        <v>5119432.82</v>
      </c>
      <c r="AR99">
        <v>5119432.82</v>
      </c>
      <c r="AS99">
        <v>73.905600000000007</v>
      </c>
      <c r="AT99">
        <v>89</v>
      </c>
      <c r="AU99">
        <v>4</v>
      </c>
      <c r="AV99">
        <v>73.905600000000007</v>
      </c>
      <c r="AW99">
        <v>89</v>
      </c>
      <c r="AX99">
        <v>4</v>
      </c>
      <c r="AY99">
        <v>0</v>
      </c>
      <c r="AZ99">
        <v>67</v>
      </c>
      <c r="BA99">
        <v>81.5</v>
      </c>
      <c r="BB99">
        <v>4</v>
      </c>
      <c r="BC99">
        <v>0</v>
      </c>
      <c r="BD99">
        <v>46060</v>
      </c>
      <c r="BE99">
        <v>46067</v>
      </c>
    </row>
    <row r="100" spans="1:57" ht="15.2" customHeight="1" x14ac:dyDescent="0.25">
      <c r="A100" t="s">
        <v>215</v>
      </c>
      <c r="B100" t="s">
        <v>707</v>
      </c>
      <c r="C100" t="s">
        <v>517</v>
      </c>
      <c r="D100" t="s">
        <v>437</v>
      </c>
      <c r="E100" t="s">
        <v>420</v>
      </c>
      <c r="F100" t="s">
        <v>501</v>
      </c>
      <c r="G100" t="s">
        <v>502</v>
      </c>
      <c r="H100" t="s">
        <v>561</v>
      </c>
      <c r="I100" t="s">
        <v>422</v>
      </c>
      <c r="L100" t="s">
        <v>504</v>
      </c>
      <c r="N100" t="s">
        <v>424</v>
      </c>
      <c r="O100" t="s">
        <v>577</v>
      </c>
      <c r="P100" t="s">
        <v>425</v>
      </c>
      <c r="Q100" t="s">
        <v>353</v>
      </c>
      <c r="R100" t="s">
        <v>708</v>
      </c>
      <c r="S100" t="s">
        <v>422</v>
      </c>
      <c r="T100" t="s">
        <v>507</v>
      </c>
      <c r="W100">
        <v>46070</v>
      </c>
      <c r="X100">
        <v>0</v>
      </c>
      <c r="Y100">
        <v>45886</v>
      </c>
      <c r="Z100">
        <v>0</v>
      </c>
      <c r="AA100">
        <v>0</v>
      </c>
      <c r="AB100">
        <v>28.79</v>
      </c>
      <c r="AC100">
        <v>0</v>
      </c>
      <c r="AD100">
        <v>0</v>
      </c>
      <c r="AE100">
        <v>0</v>
      </c>
      <c r="AF100" t="s">
        <v>428</v>
      </c>
      <c r="AG100" t="s">
        <v>429</v>
      </c>
      <c r="AH100" t="s">
        <v>429</v>
      </c>
      <c r="AI100" t="s">
        <v>428</v>
      </c>
      <c r="AJ100" t="s">
        <v>474</v>
      </c>
      <c r="AK100" t="s">
        <v>474</v>
      </c>
      <c r="AN100" t="s">
        <v>430</v>
      </c>
      <c r="AO100" t="s">
        <v>446</v>
      </c>
      <c r="AQ100">
        <v>654084.39</v>
      </c>
      <c r="AR100">
        <v>654084.39</v>
      </c>
      <c r="AS100">
        <v>64.183000000000007</v>
      </c>
      <c r="AT100">
        <v>106</v>
      </c>
      <c r="AU100">
        <v>30</v>
      </c>
      <c r="AV100">
        <v>64.183000000000007</v>
      </c>
      <c r="AW100">
        <v>106</v>
      </c>
      <c r="AX100">
        <v>30</v>
      </c>
      <c r="AY100">
        <v>0</v>
      </c>
      <c r="AZ100">
        <v>120</v>
      </c>
      <c r="BA100">
        <v>198</v>
      </c>
      <c r="BB100">
        <v>30</v>
      </c>
      <c r="BC100">
        <v>0</v>
      </c>
      <c r="BD100">
        <v>46070</v>
      </c>
      <c r="BE100">
        <v>46096</v>
      </c>
    </row>
    <row r="101" spans="1:57" ht="15.2" customHeight="1" x14ac:dyDescent="0.25">
      <c r="A101" t="s">
        <v>709</v>
      </c>
      <c r="B101" t="s">
        <v>710</v>
      </c>
      <c r="C101" t="s">
        <v>517</v>
      </c>
      <c r="D101" t="s">
        <v>437</v>
      </c>
      <c r="E101" t="s">
        <v>420</v>
      </c>
      <c r="F101" t="s">
        <v>501</v>
      </c>
      <c r="G101" t="s">
        <v>502</v>
      </c>
      <c r="I101" t="s">
        <v>422</v>
      </c>
      <c r="L101" t="s">
        <v>504</v>
      </c>
      <c r="N101" t="s">
        <v>424</v>
      </c>
      <c r="O101" t="s">
        <v>439</v>
      </c>
      <c r="P101" t="s">
        <v>440</v>
      </c>
      <c r="Q101" t="s">
        <v>456</v>
      </c>
      <c r="R101" t="s">
        <v>711</v>
      </c>
      <c r="S101" t="s">
        <v>422</v>
      </c>
      <c r="T101" t="s">
        <v>507</v>
      </c>
      <c r="W101">
        <v>46064.833333333336</v>
      </c>
      <c r="X101">
        <v>46066.041666666664</v>
      </c>
      <c r="Y101">
        <v>0</v>
      </c>
      <c r="Z101">
        <v>29</v>
      </c>
      <c r="AA101">
        <v>0</v>
      </c>
      <c r="AB101">
        <v>0</v>
      </c>
      <c r="AC101">
        <v>0</v>
      </c>
      <c r="AD101">
        <v>0</v>
      </c>
      <c r="AE101">
        <v>0</v>
      </c>
      <c r="AF101" t="s">
        <v>429</v>
      </c>
      <c r="AG101" t="s">
        <v>429</v>
      </c>
      <c r="AH101" t="s">
        <v>429</v>
      </c>
      <c r="AI101" t="s">
        <v>429</v>
      </c>
      <c r="AN101" t="s">
        <v>431</v>
      </c>
      <c r="AO101" t="s">
        <v>432</v>
      </c>
      <c r="AQ101">
        <v>0</v>
      </c>
      <c r="AR101">
        <v>0</v>
      </c>
      <c r="AS101">
        <v>533.05630000000008</v>
      </c>
      <c r="AT101">
        <v>725</v>
      </c>
      <c r="AU101">
        <v>15</v>
      </c>
      <c r="AV101">
        <v>533.05630000000008</v>
      </c>
      <c r="AW101">
        <v>725</v>
      </c>
      <c r="AX101">
        <v>15</v>
      </c>
      <c r="AY101">
        <v>0</v>
      </c>
      <c r="AZ101">
        <v>533.05630000000008</v>
      </c>
      <c r="BA101">
        <v>725</v>
      </c>
      <c r="BB101">
        <v>15</v>
      </c>
      <c r="BC101">
        <v>0</v>
      </c>
      <c r="BD101">
        <v>46064</v>
      </c>
      <c r="BE101">
        <v>46067</v>
      </c>
    </row>
    <row r="102" spans="1:57" ht="15.2" customHeight="1" x14ac:dyDescent="0.25">
      <c r="A102" t="s">
        <v>712</v>
      </c>
      <c r="B102" t="s">
        <v>713</v>
      </c>
      <c r="C102" t="s">
        <v>574</v>
      </c>
      <c r="D102" t="s">
        <v>518</v>
      </c>
      <c r="E102" t="s">
        <v>420</v>
      </c>
      <c r="F102" t="s">
        <v>519</v>
      </c>
      <c r="G102" t="s">
        <v>421</v>
      </c>
      <c r="H102" t="s">
        <v>544</v>
      </c>
      <c r="I102" t="s">
        <v>422</v>
      </c>
      <c r="L102" t="s">
        <v>492</v>
      </c>
      <c r="N102" t="s">
        <v>520</v>
      </c>
      <c r="O102" t="s">
        <v>531</v>
      </c>
      <c r="P102" t="s">
        <v>440</v>
      </c>
      <c r="Q102" t="s">
        <v>51</v>
      </c>
      <c r="R102" t="s">
        <v>714</v>
      </c>
      <c r="S102" t="s">
        <v>422</v>
      </c>
      <c r="T102" t="s">
        <v>507</v>
      </c>
      <c r="W102">
        <v>46050.791666666664</v>
      </c>
      <c r="X102">
        <v>46060.208333333336</v>
      </c>
      <c r="Y102">
        <v>45801</v>
      </c>
      <c r="Z102">
        <v>226</v>
      </c>
      <c r="AA102">
        <v>210.93</v>
      </c>
      <c r="AB102">
        <v>200.86</v>
      </c>
      <c r="AC102">
        <v>33.200000000000003</v>
      </c>
      <c r="AD102">
        <v>33.200000000000003</v>
      </c>
      <c r="AE102">
        <v>177.73</v>
      </c>
      <c r="AF102" t="s">
        <v>428</v>
      </c>
      <c r="AG102" t="s">
        <v>429</v>
      </c>
      <c r="AH102" t="s">
        <v>428</v>
      </c>
      <c r="AI102" t="s">
        <v>428</v>
      </c>
      <c r="AK102" t="s">
        <v>474</v>
      </c>
      <c r="AM102" t="s">
        <v>485</v>
      </c>
      <c r="AN102" t="s">
        <v>445</v>
      </c>
      <c r="AO102" t="s">
        <v>446</v>
      </c>
      <c r="AQ102">
        <v>5399418.4500000002</v>
      </c>
      <c r="AR102">
        <v>5399418.4500000002</v>
      </c>
      <c r="AS102">
        <v>90.394199999999998</v>
      </c>
      <c r="AT102">
        <v>940</v>
      </c>
      <c r="AU102">
        <v>88.4</v>
      </c>
      <c r="AV102">
        <v>90.394199999999998</v>
      </c>
      <c r="AW102">
        <v>940</v>
      </c>
      <c r="AX102">
        <v>88.4</v>
      </c>
      <c r="AY102">
        <v>0</v>
      </c>
      <c r="AZ102">
        <v>81</v>
      </c>
      <c r="BA102">
        <v>1085</v>
      </c>
      <c r="BB102">
        <v>91</v>
      </c>
      <c r="BC102">
        <v>0</v>
      </c>
      <c r="BD102">
        <v>46049</v>
      </c>
      <c r="BE102">
        <v>46073</v>
      </c>
    </row>
    <row r="103" spans="1:57" ht="15.2" customHeight="1" x14ac:dyDescent="0.25">
      <c r="A103" t="s">
        <v>712</v>
      </c>
      <c r="B103" t="s">
        <v>713</v>
      </c>
      <c r="C103" t="s">
        <v>574</v>
      </c>
      <c r="D103" t="s">
        <v>518</v>
      </c>
      <c r="E103" t="s">
        <v>420</v>
      </c>
      <c r="F103" t="s">
        <v>519</v>
      </c>
      <c r="G103" t="s">
        <v>421</v>
      </c>
      <c r="H103" t="s">
        <v>544</v>
      </c>
      <c r="I103" t="s">
        <v>422</v>
      </c>
      <c r="L103" t="s">
        <v>492</v>
      </c>
      <c r="N103" t="s">
        <v>424</v>
      </c>
      <c r="O103" t="s">
        <v>493</v>
      </c>
      <c r="P103" t="s">
        <v>440</v>
      </c>
      <c r="Q103" t="s">
        <v>594</v>
      </c>
      <c r="R103" t="s">
        <v>715</v>
      </c>
      <c r="S103" t="s">
        <v>422</v>
      </c>
      <c r="T103" t="s">
        <v>507</v>
      </c>
      <c r="W103">
        <v>46050.166666666664</v>
      </c>
      <c r="X103">
        <v>46051.875</v>
      </c>
      <c r="Y103">
        <v>36161</v>
      </c>
      <c r="Z103">
        <v>41</v>
      </c>
      <c r="AA103">
        <v>0</v>
      </c>
      <c r="AB103">
        <v>0</v>
      </c>
      <c r="AC103">
        <v>10</v>
      </c>
      <c r="AD103">
        <v>10</v>
      </c>
      <c r="AE103">
        <v>-10</v>
      </c>
      <c r="AF103" t="s">
        <v>429</v>
      </c>
      <c r="AG103" t="s">
        <v>429</v>
      </c>
      <c r="AH103" t="s">
        <v>429</v>
      </c>
      <c r="AI103" t="s">
        <v>429</v>
      </c>
      <c r="AN103" t="s">
        <v>431</v>
      </c>
      <c r="AO103" t="s">
        <v>432</v>
      </c>
      <c r="AQ103">
        <v>0</v>
      </c>
      <c r="AR103">
        <v>0</v>
      </c>
      <c r="AS103">
        <v>90.394199999999998</v>
      </c>
      <c r="AT103">
        <v>940</v>
      </c>
      <c r="AU103">
        <v>88.4</v>
      </c>
      <c r="AV103">
        <v>90.394199999999998</v>
      </c>
      <c r="AW103">
        <v>940</v>
      </c>
      <c r="AX103">
        <v>88.4</v>
      </c>
      <c r="AY103">
        <v>0</v>
      </c>
      <c r="AZ103">
        <v>90.394199999999998</v>
      </c>
      <c r="BA103">
        <v>940</v>
      </c>
      <c r="BB103">
        <v>88.4</v>
      </c>
      <c r="BC103">
        <v>0</v>
      </c>
      <c r="BD103">
        <v>46049</v>
      </c>
      <c r="BE103">
        <v>46055</v>
      </c>
    </row>
    <row r="104" spans="1:57" ht="15.2" customHeight="1" x14ac:dyDescent="0.25">
      <c r="A104" t="s">
        <v>716</v>
      </c>
      <c r="B104" t="s">
        <v>717</v>
      </c>
      <c r="C104" t="s">
        <v>718</v>
      </c>
      <c r="D104" t="s">
        <v>489</v>
      </c>
      <c r="E104" t="s">
        <v>420</v>
      </c>
      <c r="F104" t="s">
        <v>622</v>
      </c>
      <c r="G104" t="s">
        <v>469</v>
      </c>
      <c r="H104" t="s">
        <v>544</v>
      </c>
      <c r="I104" t="s">
        <v>422</v>
      </c>
      <c r="L104" t="s">
        <v>492</v>
      </c>
      <c r="N104" t="s">
        <v>424</v>
      </c>
      <c r="O104" t="s">
        <v>608</v>
      </c>
      <c r="P104" t="s">
        <v>440</v>
      </c>
      <c r="Q104" t="s">
        <v>594</v>
      </c>
      <c r="R104" t="s">
        <v>719</v>
      </c>
      <c r="T104" t="s">
        <v>507</v>
      </c>
      <c r="W104">
        <v>46056.9375</v>
      </c>
      <c r="X104">
        <v>46057.458333333336</v>
      </c>
      <c r="Y104">
        <v>0</v>
      </c>
      <c r="Z104">
        <v>12.5</v>
      </c>
      <c r="AA104">
        <v>11.46</v>
      </c>
      <c r="AB104">
        <v>0</v>
      </c>
      <c r="AC104">
        <v>2</v>
      </c>
      <c r="AD104">
        <v>2</v>
      </c>
      <c r="AE104">
        <v>9.4600000000000009</v>
      </c>
      <c r="AF104" t="s">
        <v>429</v>
      </c>
      <c r="AG104" t="s">
        <v>429</v>
      </c>
      <c r="AH104" t="s">
        <v>429</v>
      </c>
      <c r="AI104" t="s">
        <v>429</v>
      </c>
      <c r="AN104" t="s">
        <v>431</v>
      </c>
      <c r="AO104" t="s">
        <v>432</v>
      </c>
      <c r="AQ104">
        <v>0</v>
      </c>
      <c r="AR104">
        <v>0</v>
      </c>
      <c r="AS104">
        <v>86.281700000000001</v>
      </c>
      <c r="AT104">
        <v>245</v>
      </c>
      <c r="AU104">
        <v>57</v>
      </c>
      <c r="AV104">
        <v>86.281700000000001</v>
      </c>
      <c r="AW104">
        <v>245</v>
      </c>
      <c r="AX104">
        <v>57</v>
      </c>
      <c r="AY104">
        <v>0</v>
      </c>
      <c r="AZ104">
        <v>86.281700000000001</v>
      </c>
      <c r="BA104">
        <v>245</v>
      </c>
      <c r="BB104">
        <v>57</v>
      </c>
      <c r="BC104">
        <v>0</v>
      </c>
      <c r="BD104">
        <v>46056</v>
      </c>
      <c r="BE104">
        <v>46058</v>
      </c>
    </row>
    <row r="105" spans="1:57" ht="15.2" customHeight="1" x14ac:dyDescent="0.25">
      <c r="A105" t="s">
        <v>716</v>
      </c>
      <c r="B105" t="s">
        <v>717</v>
      </c>
      <c r="C105" t="s">
        <v>718</v>
      </c>
      <c r="D105" t="s">
        <v>489</v>
      </c>
      <c r="E105" t="s">
        <v>420</v>
      </c>
      <c r="F105" t="s">
        <v>622</v>
      </c>
      <c r="G105" t="s">
        <v>469</v>
      </c>
      <c r="I105" t="s">
        <v>422</v>
      </c>
      <c r="L105" t="s">
        <v>492</v>
      </c>
      <c r="N105" t="s">
        <v>424</v>
      </c>
      <c r="O105" t="s">
        <v>493</v>
      </c>
      <c r="P105" t="s">
        <v>440</v>
      </c>
      <c r="Q105" t="s">
        <v>594</v>
      </c>
      <c r="R105" t="s">
        <v>719</v>
      </c>
      <c r="S105" t="s">
        <v>422</v>
      </c>
      <c r="T105" t="s">
        <v>507</v>
      </c>
      <c r="W105">
        <v>46057.875</v>
      </c>
      <c r="X105">
        <v>46058.375</v>
      </c>
      <c r="Y105">
        <v>0</v>
      </c>
      <c r="Z105">
        <v>12</v>
      </c>
      <c r="AA105">
        <v>0</v>
      </c>
      <c r="AB105">
        <v>0</v>
      </c>
      <c r="AC105">
        <v>2</v>
      </c>
      <c r="AD105">
        <v>2</v>
      </c>
      <c r="AE105">
        <v>-2</v>
      </c>
      <c r="AF105" t="s">
        <v>429</v>
      </c>
      <c r="AG105" t="s">
        <v>429</v>
      </c>
      <c r="AH105" t="s">
        <v>429</v>
      </c>
      <c r="AI105" t="s">
        <v>429</v>
      </c>
      <c r="AN105" t="s">
        <v>431</v>
      </c>
      <c r="AO105" t="s">
        <v>432</v>
      </c>
      <c r="AQ105">
        <v>0</v>
      </c>
      <c r="AR105">
        <v>0</v>
      </c>
      <c r="AS105">
        <v>86.281700000000001</v>
      </c>
      <c r="AT105">
        <v>245</v>
      </c>
      <c r="AU105">
        <v>57</v>
      </c>
      <c r="AV105">
        <v>86.281700000000001</v>
      </c>
      <c r="AW105">
        <v>245</v>
      </c>
      <c r="AX105">
        <v>57</v>
      </c>
      <c r="AY105">
        <v>0</v>
      </c>
      <c r="AZ105">
        <v>86.281700000000001</v>
      </c>
      <c r="BA105">
        <v>245</v>
      </c>
      <c r="BB105">
        <v>57</v>
      </c>
      <c r="BC105">
        <v>0</v>
      </c>
      <c r="BD105">
        <v>46057</v>
      </c>
      <c r="BE105">
        <v>46059</v>
      </c>
    </row>
    <row r="106" spans="1:57" ht="15.2" customHeight="1" x14ac:dyDescent="0.25">
      <c r="A106" t="s">
        <v>716</v>
      </c>
      <c r="B106" t="s">
        <v>717</v>
      </c>
      <c r="C106" t="s">
        <v>718</v>
      </c>
      <c r="D106" t="s">
        <v>489</v>
      </c>
      <c r="E106" t="s">
        <v>420</v>
      </c>
      <c r="F106" t="s">
        <v>622</v>
      </c>
      <c r="G106" t="s">
        <v>469</v>
      </c>
      <c r="I106" t="s">
        <v>422</v>
      </c>
      <c r="L106" t="s">
        <v>492</v>
      </c>
      <c r="N106" t="s">
        <v>424</v>
      </c>
      <c r="O106" t="s">
        <v>608</v>
      </c>
      <c r="P106" t="s">
        <v>440</v>
      </c>
      <c r="Q106" t="s">
        <v>594</v>
      </c>
      <c r="R106" t="s">
        <v>719</v>
      </c>
      <c r="T106" t="s">
        <v>507</v>
      </c>
      <c r="W106">
        <v>46058.916666666664</v>
      </c>
      <c r="X106">
        <v>46059.6875</v>
      </c>
      <c r="Y106">
        <v>0</v>
      </c>
      <c r="Z106">
        <v>18.5</v>
      </c>
      <c r="AA106">
        <v>16.96</v>
      </c>
      <c r="AB106">
        <v>0</v>
      </c>
      <c r="AC106">
        <v>0</v>
      </c>
      <c r="AD106">
        <v>0</v>
      </c>
      <c r="AE106">
        <v>16.96</v>
      </c>
      <c r="AF106" t="s">
        <v>429</v>
      </c>
      <c r="AG106" t="s">
        <v>429</v>
      </c>
      <c r="AH106" t="s">
        <v>429</v>
      </c>
      <c r="AI106" t="s">
        <v>429</v>
      </c>
      <c r="AN106" t="s">
        <v>431</v>
      </c>
      <c r="AO106" t="s">
        <v>432</v>
      </c>
      <c r="AQ106">
        <v>0</v>
      </c>
      <c r="AR106">
        <v>0</v>
      </c>
      <c r="AS106">
        <v>86.281700000000001</v>
      </c>
      <c r="AT106">
        <v>245</v>
      </c>
      <c r="AU106">
        <v>57</v>
      </c>
      <c r="AV106">
        <v>86.281700000000001</v>
      </c>
      <c r="AW106">
        <v>245</v>
      </c>
      <c r="AX106">
        <v>57</v>
      </c>
      <c r="AY106">
        <v>0</v>
      </c>
      <c r="AZ106">
        <v>86.281700000000001</v>
      </c>
      <c r="BA106">
        <v>245</v>
      </c>
      <c r="BB106">
        <v>57</v>
      </c>
      <c r="BC106">
        <v>0</v>
      </c>
      <c r="BD106">
        <v>46059</v>
      </c>
      <c r="BE106">
        <v>46060</v>
      </c>
    </row>
    <row r="107" spans="1:57" ht="15.2" customHeight="1" x14ac:dyDescent="0.25">
      <c r="A107" t="s">
        <v>716</v>
      </c>
      <c r="B107" t="s">
        <v>717</v>
      </c>
      <c r="C107" t="s">
        <v>718</v>
      </c>
      <c r="D107" t="s">
        <v>489</v>
      </c>
      <c r="E107" t="s">
        <v>420</v>
      </c>
      <c r="F107" t="s">
        <v>622</v>
      </c>
      <c r="G107" t="s">
        <v>469</v>
      </c>
      <c r="H107" t="s">
        <v>544</v>
      </c>
      <c r="I107" t="s">
        <v>422</v>
      </c>
      <c r="L107" t="s">
        <v>492</v>
      </c>
      <c r="N107" t="s">
        <v>424</v>
      </c>
      <c r="O107" t="s">
        <v>718</v>
      </c>
      <c r="P107" t="s">
        <v>440</v>
      </c>
      <c r="Q107" t="s">
        <v>720</v>
      </c>
      <c r="R107" t="s">
        <v>721</v>
      </c>
      <c r="S107" t="s">
        <v>422</v>
      </c>
      <c r="T107" t="s">
        <v>507</v>
      </c>
      <c r="W107">
        <v>46059.375</v>
      </c>
      <c r="X107">
        <v>46066.083333333336</v>
      </c>
      <c r="Y107">
        <v>46047</v>
      </c>
      <c r="Z107">
        <v>161</v>
      </c>
      <c r="AA107">
        <v>147.58000000000001</v>
      </c>
      <c r="AB107">
        <v>150.72999999999999</v>
      </c>
      <c r="AC107">
        <v>0</v>
      </c>
      <c r="AD107">
        <v>0</v>
      </c>
      <c r="AE107">
        <v>147.58000000000001</v>
      </c>
      <c r="AF107" t="s">
        <v>428</v>
      </c>
      <c r="AG107" t="s">
        <v>429</v>
      </c>
      <c r="AH107" t="s">
        <v>428</v>
      </c>
      <c r="AI107" t="s">
        <v>428</v>
      </c>
      <c r="AK107" t="s">
        <v>474</v>
      </c>
      <c r="AM107" t="s">
        <v>485</v>
      </c>
      <c r="AN107" t="s">
        <v>430</v>
      </c>
      <c r="AO107" t="s">
        <v>446</v>
      </c>
      <c r="AQ107">
        <v>2940675.5</v>
      </c>
      <c r="AR107">
        <v>2940675.5</v>
      </c>
      <c r="AS107">
        <v>86.281700000000001</v>
      </c>
      <c r="AT107">
        <v>245</v>
      </c>
      <c r="AU107">
        <v>57</v>
      </c>
      <c r="AV107">
        <v>86.281700000000001</v>
      </c>
      <c r="AW107">
        <v>245</v>
      </c>
      <c r="AX107">
        <v>57</v>
      </c>
      <c r="AY107">
        <v>0</v>
      </c>
      <c r="AZ107">
        <v>116</v>
      </c>
      <c r="BA107">
        <v>404</v>
      </c>
      <c r="BB107">
        <v>57</v>
      </c>
      <c r="BC107">
        <v>0</v>
      </c>
      <c r="BD107">
        <v>46058</v>
      </c>
      <c r="BE107">
        <v>46070</v>
      </c>
    </row>
    <row r="108" spans="1:57" ht="15.2" customHeight="1" x14ac:dyDescent="0.25">
      <c r="A108" t="s">
        <v>722</v>
      </c>
      <c r="B108" t="s">
        <v>723</v>
      </c>
      <c r="C108" t="s">
        <v>718</v>
      </c>
      <c r="D108" t="s">
        <v>489</v>
      </c>
      <c r="E108" t="s">
        <v>420</v>
      </c>
      <c r="F108" t="s">
        <v>622</v>
      </c>
      <c r="G108" t="s">
        <v>469</v>
      </c>
      <c r="H108" t="s">
        <v>544</v>
      </c>
      <c r="I108" t="s">
        <v>422</v>
      </c>
      <c r="L108" t="s">
        <v>492</v>
      </c>
      <c r="N108" t="s">
        <v>424</v>
      </c>
      <c r="O108" t="s">
        <v>517</v>
      </c>
      <c r="P108" t="s">
        <v>440</v>
      </c>
      <c r="Q108" t="s">
        <v>51</v>
      </c>
      <c r="R108" t="s">
        <v>627</v>
      </c>
      <c r="S108" t="s">
        <v>422</v>
      </c>
      <c r="T108" t="s">
        <v>507</v>
      </c>
      <c r="W108">
        <v>46046.75</v>
      </c>
      <c r="X108">
        <v>46061.791666666664</v>
      </c>
      <c r="Y108">
        <v>46042</v>
      </c>
      <c r="Z108">
        <v>361</v>
      </c>
      <c r="AA108">
        <v>330.92</v>
      </c>
      <c r="AB108">
        <v>317.23</v>
      </c>
      <c r="AC108">
        <v>126</v>
      </c>
      <c r="AD108">
        <v>136.25</v>
      </c>
      <c r="AE108">
        <v>194.67000000000002</v>
      </c>
      <c r="AF108" t="s">
        <v>428</v>
      </c>
      <c r="AG108" t="s">
        <v>429</v>
      </c>
      <c r="AH108" t="s">
        <v>428</v>
      </c>
      <c r="AI108" t="s">
        <v>428</v>
      </c>
      <c r="AK108" t="s">
        <v>474</v>
      </c>
      <c r="AM108" t="s">
        <v>485</v>
      </c>
      <c r="AN108" t="s">
        <v>498</v>
      </c>
      <c r="AO108" t="s">
        <v>446</v>
      </c>
      <c r="AQ108">
        <v>8259662.3300000001</v>
      </c>
      <c r="AR108">
        <v>8259662.3300000001</v>
      </c>
      <c r="AS108">
        <v>85.700200000000009</v>
      </c>
      <c r="AT108">
        <v>218</v>
      </c>
      <c r="AU108">
        <v>52</v>
      </c>
      <c r="AV108">
        <v>85.700200000000009</v>
      </c>
      <c r="AW108">
        <v>218</v>
      </c>
      <c r="AX108">
        <v>52</v>
      </c>
      <c r="AY108">
        <v>0</v>
      </c>
      <c r="AZ108">
        <v>120.59</v>
      </c>
      <c r="BA108">
        <v>368.1</v>
      </c>
      <c r="BB108">
        <v>60.5</v>
      </c>
      <c r="BC108">
        <v>0</v>
      </c>
      <c r="BD108">
        <v>46046</v>
      </c>
      <c r="BE108">
        <v>46061</v>
      </c>
    </row>
    <row r="109" spans="1:57" ht="15.2" customHeight="1" x14ac:dyDescent="0.25">
      <c r="A109" t="s">
        <v>724</v>
      </c>
      <c r="B109" t="s">
        <v>725</v>
      </c>
      <c r="C109" t="s">
        <v>718</v>
      </c>
      <c r="D109" t="s">
        <v>489</v>
      </c>
      <c r="E109" t="s">
        <v>420</v>
      </c>
      <c r="F109" t="s">
        <v>622</v>
      </c>
      <c r="G109" t="s">
        <v>469</v>
      </c>
      <c r="H109" t="s">
        <v>491</v>
      </c>
      <c r="I109" t="s">
        <v>422</v>
      </c>
      <c r="L109" t="s">
        <v>492</v>
      </c>
      <c r="N109" t="s">
        <v>424</v>
      </c>
      <c r="O109" t="s">
        <v>612</v>
      </c>
      <c r="P109" t="s">
        <v>425</v>
      </c>
      <c r="Q109" t="s">
        <v>92</v>
      </c>
      <c r="R109" t="s">
        <v>726</v>
      </c>
      <c r="S109" t="s">
        <v>422</v>
      </c>
      <c r="T109" t="s">
        <v>507</v>
      </c>
      <c r="W109">
        <v>46032.125</v>
      </c>
      <c r="X109">
        <v>0</v>
      </c>
      <c r="Z109">
        <v>0</v>
      </c>
      <c r="AA109">
        <v>0</v>
      </c>
      <c r="AB109">
        <v>822.97</v>
      </c>
      <c r="AC109">
        <v>0</v>
      </c>
      <c r="AD109">
        <v>0</v>
      </c>
      <c r="AE109">
        <v>0</v>
      </c>
      <c r="AF109" t="s">
        <v>428</v>
      </c>
      <c r="AG109" t="s">
        <v>429</v>
      </c>
      <c r="AH109" t="s">
        <v>429</v>
      </c>
      <c r="AI109" t="s">
        <v>428</v>
      </c>
      <c r="AJ109" t="s">
        <v>474</v>
      </c>
      <c r="AK109" t="s">
        <v>474</v>
      </c>
      <c r="AN109" t="s">
        <v>498</v>
      </c>
      <c r="AO109" t="s">
        <v>446</v>
      </c>
      <c r="AQ109">
        <v>17299633.890000001</v>
      </c>
      <c r="AR109">
        <v>17299633.890000001</v>
      </c>
      <c r="AS109">
        <v>107.8377</v>
      </c>
      <c r="AT109">
        <v>133</v>
      </c>
      <c r="AU109">
        <v>1</v>
      </c>
      <c r="AV109">
        <v>107.8377</v>
      </c>
      <c r="AW109">
        <v>133</v>
      </c>
      <c r="AX109">
        <v>1</v>
      </c>
      <c r="AY109">
        <v>0</v>
      </c>
      <c r="AZ109">
        <v>95</v>
      </c>
      <c r="BA109">
        <v>130</v>
      </c>
      <c r="BB109">
        <v>10</v>
      </c>
      <c r="BC109">
        <v>0</v>
      </c>
      <c r="BD109">
        <v>46040</v>
      </c>
      <c r="BE109">
        <v>46063</v>
      </c>
    </row>
    <row r="110" spans="1:57" ht="15.2" customHeight="1" x14ac:dyDescent="0.25">
      <c r="A110" t="s">
        <v>724</v>
      </c>
      <c r="B110" t="s">
        <v>725</v>
      </c>
      <c r="C110" t="s">
        <v>718</v>
      </c>
      <c r="D110" t="s">
        <v>489</v>
      </c>
      <c r="E110" t="s">
        <v>420</v>
      </c>
      <c r="F110" t="s">
        <v>622</v>
      </c>
      <c r="G110" t="s">
        <v>469</v>
      </c>
      <c r="H110" t="s">
        <v>544</v>
      </c>
      <c r="I110" t="s">
        <v>422</v>
      </c>
      <c r="L110" t="s">
        <v>492</v>
      </c>
      <c r="N110" t="s">
        <v>424</v>
      </c>
      <c r="O110" t="s">
        <v>612</v>
      </c>
      <c r="P110" t="s">
        <v>440</v>
      </c>
      <c r="Q110" t="s">
        <v>51</v>
      </c>
      <c r="R110" t="s">
        <v>727</v>
      </c>
      <c r="S110" t="s">
        <v>422</v>
      </c>
      <c r="T110" t="s">
        <v>507</v>
      </c>
      <c r="W110">
        <v>46070.8125</v>
      </c>
      <c r="X110">
        <v>46071.145833333336</v>
      </c>
      <c r="Y110">
        <v>46044</v>
      </c>
      <c r="Z110">
        <v>8</v>
      </c>
      <c r="AA110">
        <v>7.33</v>
      </c>
      <c r="AB110">
        <v>0</v>
      </c>
      <c r="AC110">
        <v>0</v>
      </c>
      <c r="AD110">
        <v>7.5</v>
      </c>
      <c r="AE110">
        <v>-0.17</v>
      </c>
      <c r="AF110" t="s">
        <v>428</v>
      </c>
      <c r="AG110" t="s">
        <v>429</v>
      </c>
      <c r="AH110" t="s">
        <v>428</v>
      </c>
      <c r="AI110" t="s">
        <v>429</v>
      </c>
      <c r="AK110" t="s">
        <v>474</v>
      </c>
      <c r="AM110" t="s">
        <v>485</v>
      </c>
      <c r="AN110" t="s">
        <v>431</v>
      </c>
      <c r="AO110" t="s">
        <v>432</v>
      </c>
      <c r="AQ110">
        <v>0</v>
      </c>
      <c r="AR110">
        <v>0</v>
      </c>
      <c r="AS110">
        <v>107.8377</v>
      </c>
      <c r="AT110">
        <v>133</v>
      </c>
      <c r="AU110">
        <v>1</v>
      </c>
      <c r="AV110">
        <v>107.8377</v>
      </c>
      <c r="AW110">
        <v>133</v>
      </c>
      <c r="AX110">
        <v>1</v>
      </c>
      <c r="AY110">
        <v>0</v>
      </c>
      <c r="AZ110">
        <v>107.8377</v>
      </c>
      <c r="BA110">
        <v>133</v>
      </c>
      <c r="BB110">
        <v>1</v>
      </c>
      <c r="BC110">
        <v>0</v>
      </c>
      <c r="BD110">
        <v>46032</v>
      </c>
      <c r="BE110">
        <v>46044</v>
      </c>
    </row>
    <row r="111" spans="1:57" ht="15.2" customHeight="1" x14ac:dyDescent="0.25">
      <c r="A111" t="s">
        <v>266</v>
      </c>
      <c r="B111" t="s">
        <v>728</v>
      </c>
      <c r="C111" t="s">
        <v>729</v>
      </c>
      <c r="D111" t="s">
        <v>730</v>
      </c>
      <c r="E111" t="s">
        <v>420</v>
      </c>
      <c r="F111" t="s">
        <v>731</v>
      </c>
      <c r="G111" t="s">
        <v>421</v>
      </c>
      <c r="H111" t="s">
        <v>579</v>
      </c>
      <c r="I111" t="s">
        <v>422</v>
      </c>
      <c r="L111" t="s">
        <v>492</v>
      </c>
      <c r="N111" t="s">
        <v>424</v>
      </c>
      <c r="O111" t="s">
        <v>692</v>
      </c>
      <c r="P111" t="s">
        <v>440</v>
      </c>
      <c r="Q111" t="s">
        <v>51</v>
      </c>
      <c r="R111" t="s">
        <v>732</v>
      </c>
      <c r="T111" t="s">
        <v>507</v>
      </c>
      <c r="W111">
        <v>46071.083333333336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 t="s">
        <v>428</v>
      </c>
      <c r="AG111" t="s">
        <v>429</v>
      </c>
      <c r="AH111" t="s">
        <v>429</v>
      </c>
      <c r="AI111" t="s">
        <v>429</v>
      </c>
      <c r="AK111" t="s">
        <v>485</v>
      </c>
      <c r="AN111" t="s">
        <v>431</v>
      </c>
      <c r="AO111" t="s">
        <v>432</v>
      </c>
      <c r="AQ111">
        <v>0</v>
      </c>
      <c r="AR111">
        <v>0</v>
      </c>
      <c r="AS111">
        <v>16.493400000000001</v>
      </c>
      <c r="AT111">
        <v>66</v>
      </c>
      <c r="AU111">
        <v>70</v>
      </c>
      <c r="AV111">
        <v>16.493400000000001</v>
      </c>
      <c r="AW111">
        <v>66</v>
      </c>
      <c r="AX111">
        <v>70</v>
      </c>
      <c r="AY111">
        <v>0</v>
      </c>
      <c r="AZ111">
        <v>16.493400000000001</v>
      </c>
      <c r="BA111">
        <v>66</v>
      </c>
      <c r="BB111">
        <v>70</v>
      </c>
      <c r="BC111">
        <v>0</v>
      </c>
      <c r="BD111">
        <v>46070</v>
      </c>
      <c r="BE111">
        <v>46078</v>
      </c>
    </row>
    <row r="112" spans="1:57" ht="15.2" customHeight="1" x14ac:dyDescent="0.25">
      <c r="A112" t="s">
        <v>169</v>
      </c>
      <c r="B112" t="s">
        <v>733</v>
      </c>
      <c r="C112" t="s">
        <v>728</v>
      </c>
      <c r="D112" t="s">
        <v>489</v>
      </c>
      <c r="E112" t="s">
        <v>420</v>
      </c>
      <c r="F112" t="s">
        <v>622</v>
      </c>
      <c r="G112" t="s">
        <v>469</v>
      </c>
      <c r="H112" t="s">
        <v>579</v>
      </c>
      <c r="I112" t="s">
        <v>422</v>
      </c>
      <c r="L112" t="s">
        <v>492</v>
      </c>
      <c r="N112" t="s">
        <v>424</v>
      </c>
      <c r="O112" t="s">
        <v>734</v>
      </c>
      <c r="P112" t="s">
        <v>425</v>
      </c>
      <c r="Q112" t="s">
        <v>54</v>
      </c>
      <c r="R112" t="s">
        <v>735</v>
      </c>
      <c r="S112" t="s">
        <v>422</v>
      </c>
      <c r="T112" t="s">
        <v>507</v>
      </c>
      <c r="W112">
        <v>46069.625</v>
      </c>
      <c r="X112">
        <v>0</v>
      </c>
      <c r="Y112">
        <v>45974</v>
      </c>
      <c r="Z112">
        <v>0</v>
      </c>
      <c r="AA112">
        <v>0</v>
      </c>
      <c r="AB112">
        <v>13.11</v>
      </c>
      <c r="AC112">
        <v>0</v>
      </c>
      <c r="AD112">
        <v>0</v>
      </c>
      <c r="AE112">
        <v>0</v>
      </c>
      <c r="AF112" t="s">
        <v>428</v>
      </c>
      <c r="AG112" t="s">
        <v>429</v>
      </c>
      <c r="AH112" t="s">
        <v>429</v>
      </c>
      <c r="AI112" t="s">
        <v>428</v>
      </c>
      <c r="AJ112" t="s">
        <v>474</v>
      </c>
      <c r="AK112" t="s">
        <v>485</v>
      </c>
      <c r="AN112" t="s">
        <v>430</v>
      </c>
      <c r="AO112" t="s">
        <v>446</v>
      </c>
      <c r="AQ112">
        <v>258315.53</v>
      </c>
      <c r="AR112">
        <v>258315.53</v>
      </c>
      <c r="AS112">
        <v>99.729600000000005</v>
      </c>
      <c r="AT112">
        <v>123</v>
      </c>
      <c r="AU112">
        <v>1</v>
      </c>
      <c r="AV112">
        <v>16.953300000000002</v>
      </c>
      <c r="AW112">
        <v>30</v>
      </c>
      <c r="AX112">
        <v>31</v>
      </c>
      <c r="AY112">
        <v>0</v>
      </c>
      <c r="AZ112">
        <v>0</v>
      </c>
      <c r="BA112">
        <v>500</v>
      </c>
      <c r="BB112">
        <v>0</v>
      </c>
      <c r="BC112">
        <v>500</v>
      </c>
      <c r="BD112">
        <v>46058</v>
      </c>
      <c r="BE112">
        <v>46071</v>
      </c>
    </row>
    <row r="113" spans="1:57" ht="15.2" customHeight="1" x14ac:dyDescent="0.25">
      <c r="A113" t="s">
        <v>736</v>
      </c>
      <c r="B113" t="s">
        <v>737</v>
      </c>
      <c r="C113" t="s">
        <v>728</v>
      </c>
      <c r="D113" t="s">
        <v>489</v>
      </c>
      <c r="E113" t="s">
        <v>420</v>
      </c>
      <c r="F113" t="s">
        <v>490</v>
      </c>
      <c r="G113" t="s">
        <v>469</v>
      </c>
      <c r="H113" t="s">
        <v>579</v>
      </c>
      <c r="I113" t="s">
        <v>422</v>
      </c>
      <c r="L113" t="s">
        <v>492</v>
      </c>
      <c r="N113" t="s">
        <v>424</v>
      </c>
      <c r="O113" t="s">
        <v>734</v>
      </c>
      <c r="P113" t="s">
        <v>425</v>
      </c>
      <c r="Q113" t="s">
        <v>103</v>
      </c>
      <c r="R113" t="s">
        <v>738</v>
      </c>
      <c r="S113" t="s">
        <v>422</v>
      </c>
      <c r="T113" t="s">
        <v>507</v>
      </c>
      <c r="W113">
        <v>46030.208333333336</v>
      </c>
      <c r="X113">
        <v>46065.541666666664</v>
      </c>
      <c r="Z113">
        <v>848</v>
      </c>
      <c r="AA113">
        <v>777.33</v>
      </c>
      <c r="AB113">
        <v>710.52</v>
      </c>
      <c r="AC113">
        <v>348.5</v>
      </c>
      <c r="AD113">
        <v>379.67</v>
      </c>
      <c r="AE113">
        <v>397.66</v>
      </c>
      <c r="AF113" t="s">
        <v>428</v>
      </c>
      <c r="AG113" t="s">
        <v>429</v>
      </c>
      <c r="AH113" t="s">
        <v>428</v>
      </c>
      <c r="AI113" t="s">
        <v>428</v>
      </c>
      <c r="AJ113" t="s">
        <v>474</v>
      </c>
      <c r="AK113" t="s">
        <v>474</v>
      </c>
      <c r="AM113" t="s">
        <v>485</v>
      </c>
      <c r="AN113" t="s">
        <v>498</v>
      </c>
      <c r="AO113" t="s">
        <v>446</v>
      </c>
      <c r="AQ113">
        <v>15387591.220000001</v>
      </c>
      <c r="AR113">
        <v>15387591.220000001</v>
      </c>
      <c r="AS113">
        <v>101.8181</v>
      </c>
      <c r="AT113">
        <v>148</v>
      </c>
      <c r="AU113">
        <v>16</v>
      </c>
      <c r="AV113">
        <v>55.724800000000002</v>
      </c>
      <c r="AW113">
        <v>81</v>
      </c>
      <c r="AX113">
        <v>16</v>
      </c>
      <c r="AY113">
        <v>0</v>
      </c>
      <c r="AZ113">
        <v>128</v>
      </c>
      <c r="BA113">
        <v>208</v>
      </c>
      <c r="BB113">
        <v>25</v>
      </c>
      <c r="BC113">
        <v>0</v>
      </c>
      <c r="BD113">
        <v>46030</v>
      </c>
      <c r="BE113">
        <v>46050</v>
      </c>
    </row>
    <row r="114" spans="1:57" ht="15.2" customHeight="1" x14ac:dyDescent="0.25">
      <c r="A114" t="s">
        <v>739</v>
      </c>
      <c r="B114" t="s">
        <v>740</v>
      </c>
      <c r="C114" t="s">
        <v>728</v>
      </c>
      <c r="D114" t="s">
        <v>489</v>
      </c>
      <c r="E114" t="s">
        <v>420</v>
      </c>
      <c r="F114" t="s">
        <v>490</v>
      </c>
      <c r="G114" t="s">
        <v>469</v>
      </c>
      <c r="H114" t="s">
        <v>618</v>
      </c>
      <c r="I114" t="s">
        <v>541</v>
      </c>
      <c r="L114" t="s">
        <v>492</v>
      </c>
      <c r="N114" t="s">
        <v>424</v>
      </c>
      <c r="O114" t="s">
        <v>734</v>
      </c>
      <c r="P114" t="s">
        <v>425</v>
      </c>
      <c r="Q114" t="s">
        <v>154</v>
      </c>
      <c r="R114" t="s">
        <v>741</v>
      </c>
      <c r="T114" t="s">
        <v>507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 t="s">
        <v>428</v>
      </c>
      <c r="AG114" t="s">
        <v>429</v>
      </c>
      <c r="AH114" t="s">
        <v>429</v>
      </c>
      <c r="AI114" t="s">
        <v>429</v>
      </c>
      <c r="AJ114" t="s">
        <v>474</v>
      </c>
      <c r="AK114" t="s">
        <v>430</v>
      </c>
      <c r="AN114" t="s">
        <v>431</v>
      </c>
      <c r="AO114" t="s">
        <v>432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211.5</v>
      </c>
      <c r="BA114">
        <v>289</v>
      </c>
      <c r="BB114">
        <v>10</v>
      </c>
      <c r="BC114">
        <v>0</v>
      </c>
      <c r="BD114">
        <v>46063</v>
      </c>
      <c r="BE114">
        <v>46104</v>
      </c>
    </row>
    <row r="115" spans="1:57" ht="15.2" customHeight="1" x14ac:dyDescent="0.25">
      <c r="A115" t="s">
        <v>742</v>
      </c>
      <c r="B115" t="s">
        <v>743</v>
      </c>
      <c r="D115" t="s">
        <v>489</v>
      </c>
      <c r="E115" t="s">
        <v>420</v>
      </c>
      <c r="G115" t="s">
        <v>469</v>
      </c>
      <c r="I115" t="s">
        <v>422</v>
      </c>
      <c r="L115" t="s">
        <v>423</v>
      </c>
      <c r="N115" t="s">
        <v>424</v>
      </c>
      <c r="O115" t="s">
        <v>734</v>
      </c>
      <c r="P115" t="s">
        <v>425</v>
      </c>
      <c r="Q115" t="s">
        <v>97</v>
      </c>
      <c r="R115" t="s">
        <v>744</v>
      </c>
      <c r="S115" t="s">
        <v>422</v>
      </c>
      <c r="T115" t="s">
        <v>427</v>
      </c>
      <c r="W115">
        <v>46065.541666666664</v>
      </c>
      <c r="X115">
        <v>46069.625</v>
      </c>
      <c r="Y115">
        <v>0</v>
      </c>
      <c r="Z115">
        <v>98</v>
      </c>
      <c r="AA115">
        <v>89.83</v>
      </c>
      <c r="AB115">
        <v>82</v>
      </c>
      <c r="AC115">
        <v>0</v>
      </c>
      <c r="AD115">
        <v>15.67</v>
      </c>
      <c r="AE115">
        <v>74.16</v>
      </c>
      <c r="AF115" t="s">
        <v>428</v>
      </c>
      <c r="AG115" t="s">
        <v>429</v>
      </c>
      <c r="AH115" t="s">
        <v>429</v>
      </c>
      <c r="AI115" t="s">
        <v>428</v>
      </c>
      <c r="AJ115" t="s">
        <v>474</v>
      </c>
      <c r="AK115" t="s">
        <v>474</v>
      </c>
      <c r="AN115" t="s">
        <v>430</v>
      </c>
      <c r="AO115" t="s">
        <v>446</v>
      </c>
      <c r="AQ115">
        <v>1520110.35</v>
      </c>
      <c r="AR115">
        <v>1520110.35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500</v>
      </c>
      <c r="BB115">
        <v>100</v>
      </c>
      <c r="BC115">
        <v>600</v>
      </c>
      <c r="BD115">
        <v>46063</v>
      </c>
      <c r="BE115">
        <v>46068</v>
      </c>
    </row>
    <row r="116" spans="1:57" ht="15.2" customHeight="1" x14ac:dyDescent="0.25">
      <c r="A116" t="s">
        <v>742</v>
      </c>
      <c r="B116" t="s">
        <v>743</v>
      </c>
      <c r="D116" t="s">
        <v>489</v>
      </c>
      <c r="E116" t="s">
        <v>420</v>
      </c>
      <c r="G116" t="s">
        <v>469</v>
      </c>
      <c r="I116" t="s">
        <v>422</v>
      </c>
      <c r="L116" t="s">
        <v>423</v>
      </c>
      <c r="N116" t="s">
        <v>424</v>
      </c>
      <c r="O116" t="s">
        <v>670</v>
      </c>
      <c r="P116" t="s">
        <v>440</v>
      </c>
      <c r="Q116" t="s">
        <v>337</v>
      </c>
      <c r="R116" t="s">
        <v>745</v>
      </c>
      <c r="S116" t="s">
        <v>422</v>
      </c>
      <c r="T116" t="s">
        <v>427</v>
      </c>
      <c r="W116">
        <v>46063.520833333336</v>
      </c>
      <c r="X116">
        <v>46063.791666666664</v>
      </c>
      <c r="Y116">
        <v>45973</v>
      </c>
      <c r="Z116">
        <v>6.5</v>
      </c>
      <c r="AA116">
        <v>5.96</v>
      </c>
      <c r="AB116">
        <v>5.84</v>
      </c>
      <c r="AC116">
        <v>0</v>
      </c>
      <c r="AD116">
        <v>0</v>
      </c>
      <c r="AE116">
        <v>5.96</v>
      </c>
      <c r="AF116" t="s">
        <v>428</v>
      </c>
      <c r="AG116" t="s">
        <v>429</v>
      </c>
      <c r="AH116" t="s">
        <v>429</v>
      </c>
      <c r="AI116" t="s">
        <v>428</v>
      </c>
      <c r="AK116" t="s">
        <v>474</v>
      </c>
      <c r="AN116" t="s">
        <v>430</v>
      </c>
      <c r="AO116" t="s">
        <v>446</v>
      </c>
      <c r="AQ116">
        <v>170347.11000000002</v>
      </c>
      <c r="AR116">
        <v>170347.11000000002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100</v>
      </c>
      <c r="BC116">
        <v>0</v>
      </c>
      <c r="BD116">
        <v>46058</v>
      </c>
      <c r="BE116">
        <v>46063</v>
      </c>
    </row>
    <row r="117" spans="1:57" ht="15.2" customHeight="1" x14ac:dyDescent="0.25">
      <c r="A117" t="s">
        <v>302</v>
      </c>
      <c r="B117" t="s">
        <v>746</v>
      </c>
      <c r="C117" t="s">
        <v>747</v>
      </c>
      <c r="D117" t="s">
        <v>642</v>
      </c>
      <c r="E117" t="s">
        <v>420</v>
      </c>
      <c r="F117" t="s">
        <v>651</v>
      </c>
      <c r="G117" t="s">
        <v>421</v>
      </c>
      <c r="H117" t="s">
        <v>491</v>
      </c>
      <c r="I117" t="s">
        <v>422</v>
      </c>
      <c r="L117" t="s">
        <v>644</v>
      </c>
      <c r="N117" t="s">
        <v>424</v>
      </c>
      <c r="O117" t="s">
        <v>675</v>
      </c>
      <c r="P117" t="s">
        <v>425</v>
      </c>
      <c r="Q117" t="s">
        <v>84</v>
      </c>
      <c r="R117" t="s">
        <v>748</v>
      </c>
      <c r="S117" t="s">
        <v>422</v>
      </c>
      <c r="T117" t="s">
        <v>507</v>
      </c>
      <c r="W117">
        <v>46062.604166666664</v>
      </c>
      <c r="X117">
        <v>46066.666666666664</v>
      </c>
      <c r="Y117">
        <v>45438</v>
      </c>
      <c r="Z117">
        <v>97.5</v>
      </c>
      <c r="AA117">
        <v>89.38</v>
      </c>
      <c r="AB117">
        <v>38.85</v>
      </c>
      <c r="AC117">
        <v>0</v>
      </c>
      <c r="AD117">
        <v>0</v>
      </c>
      <c r="AE117">
        <v>89.38</v>
      </c>
      <c r="AF117" t="s">
        <v>428</v>
      </c>
      <c r="AG117" t="s">
        <v>429</v>
      </c>
      <c r="AH117" t="s">
        <v>429</v>
      </c>
      <c r="AI117" t="s">
        <v>428</v>
      </c>
      <c r="AJ117" t="s">
        <v>474</v>
      </c>
      <c r="AK117" t="s">
        <v>474</v>
      </c>
      <c r="AN117" t="s">
        <v>430</v>
      </c>
      <c r="AO117" t="s">
        <v>446</v>
      </c>
      <c r="AQ117">
        <v>1877757.83</v>
      </c>
      <c r="AR117">
        <v>1877757.83</v>
      </c>
      <c r="AS117">
        <v>8.8285</v>
      </c>
      <c r="AT117">
        <v>64</v>
      </c>
      <c r="AU117">
        <v>83.4</v>
      </c>
      <c r="AV117">
        <v>8.8285</v>
      </c>
      <c r="AW117">
        <v>64</v>
      </c>
      <c r="AX117">
        <v>83.4</v>
      </c>
      <c r="AY117">
        <v>0</v>
      </c>
      <c r="AZ117">
        <v>8.8285</v>
      </c>
      <c r="BA117">
        <v>64</v>
      </c>
      <c r="BB117">
        <v>83.4</v>
      </c>
      <c r="BC117">
        <v>0</v>
      </c>
      <c r="BD117">
        <v>46063</v>
      </c>
      <c r="BE117">
        <v>46070</v>
      </c>
    </row>
    <row r="118" spans="1:57" ht="15.2" customHeight="1" x14ac:dyDescent="0.25">
      <c r="A118" t="s">
        <v>749</v>
      </c>
      <c r="B118" t="s">
        <v>750</v>
      </c>
      <c r="C118" t="s">
        <v>443</v>
      </c>
      <c r="D118" t="s">
        <v>518</v>
      </c>
      <c r="E118" t="s">
        <v>420</v>
      </c>
      <c r="F118" t="s">
        <v>519</v>
      </c>
      <c r="G118" t="s">
        <v>421</v>
      </c>
      <c r="H118" t="s">
        <v>503</v>
      </c>
      <c r="I118" t="s">
        <v>422</v>
      </c>
      <c r="L118" t="s">
        <v>492</v>
      </c>
      <c r="N118" t="s">
        <v>424</v>
      </c>
      <c r="O118" t="s">
        <v>751</v>
      </c>
      <c r="P118" t="s">
        <v>440</v>
      </c>
      <c r="Q118" t="s">
        <v>537</v>
      </c>
      <c r="R118" t="s">
        <v>752</v>
      </c>
      <c r="S118" t="s">
        <v>422</v>
      </c>
      <c r="T118" t="s">
        <v>507</v>
      </c>
      <c r="W118">
        <v>46066.208333333336</v>
      </c>
      <c r="X118">
        <v>0</v>
      </c>
      <c r="Z118">
        <v>50</v>
      </c>
      <c r="AA118">
        <v>45.83</v>
      </c>
      <c r="AB118">
        <v>48.22</v>
      </c>
      <c r="AC118">
        <v>0</v>
      </c>
      <c r="AD118">
        <v>4.5</v>
      </c>
      <c r="AE118">
        <v>41.33</v>
      </c>
      <c r="AF118" t="s">
        <v>428</v>
      </c>
      <c r="AG118" t="s">
        <v>429</v>
      </c>
      <c r="AH118" t="s">
        <v>429</v>
      </c>
      <c r="AI118" t="s">
        <v>428</v>
      </c>
      <c r="AK118" t="s">
        <v>474</v>
      </c>
      <c r="AN118" t="s">
        <v>430</v>
      </c>
      <c r="AO118" t="s">
        <v>446</v>
      </c>
      <c r="AQ118">
        <v>1233936.32</v>
      </c>
      <c r="AR118">
        <v>1233936.32</v>
      </c>
      <c r="AS118">
        <v>21.786100000000001</v>
      </c>
      <c r="AT118">
        <v>146</v>
      </c>
      <c r="AU118">
        <v>82</v>
      </c>
      <c r="AV118">
        <v>21.308600000000002</v>
      </c>
      <c r="AW118">
        <v>119</v>
      </c>
      <c r="AX118">
        <v>78.400000000000006</v>
      </c>
      <c r="AY118">
        <v>0</v>
      </c>
      <c r="AZ118">
        <v>21.786100000000001</v>
      </c>
      <c r="BA118">
        <v>146</v>
      </c>
      <c r="BB118">
        <v>82</v>
      </c>
      <c r="BC118">
        <v>0</v>
      </c>
      <c r="BD118">
        <v>46063</v>
      </c>
      <c r="BE118">
        <v>46063</v>
      </c>
    </row>
    <row r="119" spans="1:57" ht="15.2" customHeight="1" x14ac:dyDescent="0.25">
      <c r="A119" t="s">
        <v>753</v>
      </c>
      <c r="B119" t="s">
        <v>754</v>
      </c>
      <c r="C119" t="s">
        <v>755</v>
      </c>
      <c r="D119" t="s">
        <v>642</v>
      </c>
      <c r="E119" t="s">
        <v>420</v>
      </c>
      <c r="F119" t="s">
        <v>651</v>
      </c>
      <c r="G119" t="s">
        <v>421</v>
      </c>
      <c r="H119" t="s">
        <v>579</v>
      </c>
      <c r="I119" t="s">
        <v>422</v>
      </c>
      <c r="L119" t="s">
        <v>644</v>
      </c>
      <c r="N119" t="s">
        <v>424</v>
      </c>
      <c r="P119" t="s">
        <v>440</v>
      </c>
      <c r="Q119" t="s">
        <v>51</v>
      </c>
      <c r="R119" t="s">
        <v>627</v>
      </c>
      <c r="T119" t="s">
        <v>507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428</v>
      </c>
      <c r="AG119" t="s">
        <v>429</v>
      </c>
      <c r="AH119" t="s">
        <v>428</v>
      </c>
      <c r="AI119" t="s">
        <v>429</v>
      </c>
      <c r="AK119" t="s">
        <v>430</v>
      </c>
      <c r="AM119" t="s">
        <v>430</v>
      </c>
      <c r="AN119" t="s">
        <v>431</v>
      </c>
      <c r="AO119" t="s">
        <v>432</v>
      </c>
      <c r="AQ119">
        <v>0</v>
      </c>
      <c r="AR119">
        <v>0</v>
      </c>
      <c r="AS119">
        <v>5.6565000000000003</v>
      </c>
      <c r="AT119">
        <v>62</v>
      </c>
      <c r="AU119">
        <v>89</v>
      </c>
      <c r="AV119">
        <v>5.6565000000000003</v>
      </c>
      <c r="AW119">
        <v>62</v>
      </c>
      <c r="AX119">
        <v>89</v>
      </c>
      <c r="AY119">
        <v>0</v>
      </c>
      <c r="AZ119">
        <v>5.6565000000000003</v>
      </c>
      <c r="BA119">
        <v>62</v>
      </c>
      <c r="BB119">
        <v>89</v>
      </c>
      <c r="BC119">
        <v>0</v>
      </c>
      <c r="BD119">
        <v>46047</v>
      </c>
      <c r="BE119">
        <v>46057</v>
      </c>
    </row>
    <row r="120" spans="1:57" ht="15.2" customHeight="1" x14ac:dyDescent="0.25">
      <c r="A120" t="s">
        <v>756</v>
      </c>
      <c r="B120" t="s">
        <v>757</v>
      </c>
      <c r="C120" t="s">
        <v>38</v>
      </c>
      <c r="D120" t="s">
        <v>698</v>
      </c>
      <c r="E120" t="s">
        <v>420</v>
      </c>
      <c r="F120" t="s">
        <v>699</v>
      </c>
      <c r="G120" t="s">
        <v>469</v>
      </c>
      <c r="I120" t="s">
        <v>422</v>
      </c>
      <c r="L120" t="s">
        <v>472</v>
      </c>
      <c r="N120" t="s">
        <v>424</v>
      </c>
      <c r="O120" t="s">
        <v>531</v>
      </c>
      <c r="P120" t="s">
        <v>440</v>
      </c>
      <c r="Q120" t="s">
        <v>51</v>
      </c>
      <c r="R120" t="s">
        <v>627</v>
      </c>
      <c r="S120" t="s">
        <v>422</v>
      </c>
      <c r="T120" t="s">
        <v>507</v>
      </c>
      <c r="W120">
        <v>46054.041666666664</v>
      </c>
      <c r="X120">
        <v>46063.75</v>
      </c>
      <c r="Y120">
        <v>46068</v>
      </c>
      <c r="Z120">
        <v>233</v>
      </c>
      <c r="AA120">
        <v>213.58</v>
      </c>
      <c r="AB120">
        <v>176.49</v>
      </c>
      <c r="AC120">
        <v>26.330000000000002</v>
      </c>
      <c r="AD120">
        <v>33.33</v>
      </c>
      <c r="AE120">
        <v>180.25</v>
      </c>
      <c r="AF120" t="s">
        <v>428</v>
      </c>
      <c r="AG120" t="s">
        <v>429</v>
      </c>
      <c r="AH120" t="s">
        <v>428</v>
      </c>
      <c r="AI120" t="s">
        <v>428</v>
      </c>
      <c r="AK120" t="s">
        <v>474</v>
      </c>
      <c r="AM120" t="s">
        <v>430</v>
      </c>
      <c r="AN120" t="s">
        <v>430</v>
      </c>
      <c r="AO120" t="s">
        <v>446</v>
      </c>
      <c r="AQ120">
        <v>3177041.87</v>
      </c>
      <c r="AR120">
        <v>3177041.87</v>
      </c>
      <c r="AS120">
        <v>143.95250000000001</v>
      </c>
      <c r="AT120">
        <v>710</v>
      </c>
      <c r="AU120">
        <v>75</v>
      </c>
      <c r="AV120">
        <v>143.95250000000001</v>
      </c>
      <c r="AW120">
        <v>710</v>
      </c>
      <c r="AX120">
        <v>75</v>
      </c>
      <c r="AY120">
        <v>0</v>
      </c>
      <c r="AZ120">
        <v>116</v>
      </c>
      <c r="BA120">
        <v>798</v>
      </c>
      <c r="BB120">
        <v>82</v>
      </c>
      <c r="BC120">
        <v>0</v>
      </c>
      <c r="BD120">
        <v>46054</v>
      </c>
      <c r="BE120">
        <v>46064</v>
      </c>
    </row>
    <row r="121" spans="1:57" ht="15.2" customHeight="1" x14ac:dyDescent="0.25">
      <c r="A121" t="s">
        <v>758</v>
      </c>
      <c r="B121" t="s">
        <v>759</v>
      </c>
      <c r="C121" t="s">
        <v>38</v>
      </c>
      <c r="D121" t="s">
        <v>698</v>
      </c>
      <c r="E121" t="s">
        <v>420</v>
      </c>
      <c r="F121" t="s">
        <v>699</v>
      </c>
      <c r="G121" t="s">
        <v>469</v>
      </c>
      <c r="H121" t="s">
        <v>579</v>
      </c>
      <c r="L121" t="s">
        <v>472</v>
      </c>
      <c r="N121" t="s">
        <v>424</v>
      </c>
      <c r="P121" t="s">
        <v>440</v>
      </c>
      <c r="Q121" t="s">
        <v>441</v>
      </c>
      <c r="R121" t="s">
        <v>760</v>
      </c>
      <c r="T121" t="s">
        <v>571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428</v>
      </c>
      <c r="AG121" t="s">
        <v>429</v>
      </c>
      <c r="AH121" t="s">
        <v>429</v>
      </c>
      <c r="AI121" t="s">
        <v>429</v>
      </c>
      <c r="AK121" t="s">
        <v>430</v>
      </c>
      <c r="AN121" t="s">
        <v>431</v>
      </c>
      <c r="AO121" t="s">
        <v>432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Z121">
        <v>0</v>
      </c>
      <c r="BA121">
        <v>0</v>
      </c>
      <c r="BB121">
        <v>0</v>
      </c>
      <c r="BC121">
        <v>731</v>
      </c>
      <c r="BD121">
        <v>45106</v>
      </c>
      <c r="BE121">
        <v>47299</v>
      </c>
    </row>
    <row r="122" spans="1:57" ht="15.2" customHeight="1" x14ac:dyDescent="0.25">
      <c r="A122" t="s">
        <v>761</v>
      </c>
      <c r="B122" t="s">
        <v>762</v>
      </c>
      <c r="C122" t="s">
        <v>763</v>
      </c>
      <c r="D122" t="s">
        <v>518</v>
      </c>
      <c r="E122" t="s">
        <v>420</v>
      </c>
      <c r="F122" t="s">
        <v>519</v>
      </c>
      <c r="G122" t="s">
        <v>421</v>
      </c>
      <c r="H122" t="s">
        <v>544</v>
      </c>
      <c r="I122" t="s">
        <v>541</v>
      </c>
      <c r="L122" t="s">
        <v>492</v>
      </c>
      <c r="N122" t="s">
        <v>424</v>
      </c>
      <c r="O122" t="s">
        <v>764</v>
      </c>
      <c r="P122" t="s">
        <v>425</v>
      </c>
      <c r="Q122" t="s">
        <v>765</v>
      </c>
      <c r="R122" t="s">
        <v>766</v>
      </c>
      <c r="S122" t="s">
        <v>541</v>
      </c>
      <c r="T122" t="s">
        <v>507</v>
      </c>
      <c r="W122">
        <v>46055.708333333336</v>
      </c>
      <c r="X122">
        <v>46058.5</v>
      </c>
      <c r="Y122">
        <v>45192</v>
      </c>
      <c r="Z122">
        <v>67</v>
      </c>
      <c r="AA122">
        <v>61.42</v>
      </c>
      <c r="AB122">
        <v>0</v>
      </c>
      <c r="AC122">
        <v>0</v>
      </c>
      <c r="AD122">
        <v>0</v>
      </c>
      <c r="AE122">
        <v>61.42</v>
      </c>
      <c r="AF122" t="s">
        <v>429</v>
      </c>
      <c r="AG122" t="s">
        <v>429</v>
      </c>
      <c r="AH122" t="s">
        <v>429</v>
      </c>
      <c r="AI122" t="s">
        <v>429</v>
      </c>
      <c r="AN122" t="s">
        <v>431</v>
      </c>
      <c r="AO122" t="s">
        <v>432</v>
      </c>
      <c r="AQ122">
        <v>0</v>
      </c>
      <c r="AR122">
        <v>0</v>
      </c>
      <c r="AS122">
        <v>9.3511000000000006</v>
      </c>
      <c r="AT122">
        <v>12</v>
      </c>
      <c r="AU122">
        <v>6</v>
      </c>
      <c r="AV122">
        <v>9.3511000000000006</v>
      </c>
      <c r="AW122">
        <v>12</v>
      </c>
      <c r="AX122">
        <v>6</v>
      </c>
      <c r="AY122">
        <v>0</v>
      </c>
      <c r="AZ122">
        <v>9.3511000000000006</v>
      </c>
      <c r="BA122">
        <v>12</v>
      </c>
      <c r="BB122">
        <v>6</v>
      </c>
      <c r="BC122">
        <v>0</v>
      </c>
      <c r="BD122">
        <v>46055</v>
      </c>
      <c r="BE122">
        <v>46061</v>
      </c>
    </row>
    <row r="123" spans="1:57" ht="15.2" customHeight="1" x14ac:dyDescent="0.25">
      <c r="A123" t="s">
        <v>761</v>
      </c>
      <c r="B123" t="s">
        <v>762</v>
      </c>
      <c r="C123" t="s">
        <v>763</v>
      </c>
      <c r="D123" t="s">
        <v>518</v>
      </c>
      <c r="E123" t="s">
        <v>420</v>
      </c>
      <c r="F123" t="s">
        <v>519</v>
      </c>
      <c r="G123" t="s">
        <v>421</v>
      </c>
      <c r="H123" t="s">
        <v>544</v>
      </c>
      <c r="I123" t="s">
        <v>541</v>
      </c>
      <c r="L123" t="s">
        <v>492</v>
      </c>
      <c r="N123" t="s">
        <v>424</v>
      </c>
      <c r="O123" t="s">
        <v>764</v>
      </c>
      <c r="P123" t="s">
        <v>425</v>
      </c>
      <c r="Q123" t="s">
        <v>765</v>
      </c>
      <c r="R123" t="s">
        <v>766</v>
      </c>
      <c r="S123" t="s">
        <v>541</v>
      </c>
      <c r="T123" t="s">
        <v>507</v>
      </c>
      <c r="W123">
        <v>46053.625</v>
      </c>
      <c r="X123">
        <v>46054.729166666664</v>
      </c>
      <c r="Y123">
        <v>45192</v>
      </c>
      <c r="Z123">
        <v>26.5</v>
      </c>
      <c r="AA123">
        <v>24.29</v>
      </c>
      <c r="AB123">
        <v>0</v>
      </c>
      <c r="AC123">
        <v>0</v>
      </c>
      <c r="AD123">
        <v>0</v>
      </c>
      <c r="AE123">
        <v>24.29</v>
      </c>
      <c r="AF123" t="s">
        <v>428</v>
      </c>
      <c r="AG123" t="s">
        <v>429</v>
      </c>
      <c r="AH123" t="s">
        <v>429</v>
      </c>
      <c r="AI123" t="s">
        <v>429</v>
      </c>
      <c r="AJ123" t="s">
        <v>474</v>
      </c>
      <c r="AK123" t="s">
        <v>474</v>
      </c>
      <c r="AN123" t="s">
        <v>431</v>
      </c>
      <c r="AO123" t="s">
        <v>432</v>
      </c>
      <c r="AQ123">
        <v>0</v>
      </c>
      <c r="AR123">
        <v>0</v>
      </c>
      <c r="AS123">
        <v>22.631700000000002</v>
      </c>
      <c r="AT123">
        <v>30</v>
      </c>
      <c r="AU123">
        <v>9</v>
      </c>
      <c r="AV123">
        <v>9.3511000000000006</v>
      </c>
      <c r="AW123">
        <v>12</v>
      </c>
      <c r="AX123">
        <v>6</v>
      </c>
      <c r="AY123">
        <v>0</v>
      </c>
      <c r="AZ123">
        <v>22.631700000000002</v>
      </c>
      <c r="BA123">
        <v>30</v>
      </c>
      <c r="BB123">
        <v>9</v>
      </c>
      <c r="BC123">
        <v>0</v>
      </c>
      <c r="BD123">
        <v>46053</v>
      </c>
      <c r="BE123">
        <v>46058</v>
      </c>
    </row>
    <row r="124" spans="1:57" ht="15.2" customHeight="1" x14ac:dyDescent="0.25">
      <c r="A124" t="s">
        <v>293</v>
      </c>
      <c r="B124" t="s">
        <v>767</v>
      </c>
      <c r="C124" t="s">
        <v>454</v>
      </c>
      <c r="D124" t="s">
        <v>768</v>
      </c>
      <c r="E124" t="s">
        <v>420</v>
      </c>
      <c r="F124" t="s">
        <v>769</v>
      </c>
      <c r="G124" t="s">
        <v>421</v>
      </c>
      <c r="H124" t="s">
        <v>544</v>
      </c>
      <c r="I124" t="s">
        <v>422</v>
      </c>
      <c r="L124" t="s">
        <v>492</v>
      </c>
      <c r="N124" t="s">
        <v>424</v>
      </c>
      <c r="O124" t="s">
        <v>751</v>
      </c>
      <c r="P124" t="s">
        <v>440</v>
      </c>
      <c r="Q124" t="s">
        <v>51</v>
      </c>
      <c r="R124" t="s">
        <v>627</v>
      </c>
      <c r="S124" t="s">
        <v>422</v>
      </c>
      <c r="T124" t="s">
        <v>507</v>
      </c>
      <c r="W124">
        <v>46069</v>
      </c>
      <c r="X124">
        <v>0</v>
      </c>
      <c r="Y124">
        <v>46049</v>
      </c>
      <c r="Z124">
        <v>0</v>
      </c>
      <c r="AA124">
        <v>0</v>
      </c>
      <c r="AB124">
        <v>26.310000000000002</v>
      </c>
      <c r="AC124">
        <v>0</v>
      </c>
      <c r="AD124">
        <v>0</v>
      </c>
      <c r="AE124">
        <v>0</v>
      </c>
      <c r="AF124" t="s">
        <v>428</v>
      </c>
      <c r="AG124" t="s">
        <v>429</v>
      </c>
      <c r="AH124" t="s">
        <v>429</v>
      </c>
      <c r="AI124" t="s">
        <v>428</v>
      </c>
      <c r="AK124" t="s">
        <v>474</v>
      </c>
      <c r="AN124" t="s">
        <v>430</v>
      </c>
      <c r="AO124" t="s">
        <v>446</v>
      </c>
      <c r="AQ124">
        <v>518475.7</v>
      </c>
      <c r="AR124">
        <v>518475.7</v>
      </c>
      <c r="AS124">
        <v>12.6837</v>
      </c>
      <c r="AT124">
        <v>34</v>
      </c>
      <c r="AU124">
        <v>55</v>
      </c>
      <c r="AV124">
        <v>12.6837</v>
      </c>
      <c r="AW124">
        <v>34</v>
      </c>
      <c r="AX124">
        <v>55</v>
      </c>
      <c r="AY124">
        <v>0</v>
      </c>
      <c r="AZ124">
        <v>12.6837</v>
      </c>
      <c r="BA124">
        <v>34</v>
      </c>
      <c r="BB124">
        <v>55</v>
      </c>
      <c r="BC124">
        <v>0</v>
      </c>
      <c r="BD124">
        <v>46065</v>
      </c>
      <c r="BE124">
        <v>46080</v>
      </c>
    </row>
    <row r="125" spans="1:57" ht="15.2" customHeight="1" x14ac:dyDescent="0.25">
      <c r="A125" t="s">
        <v>101</v>
      </c>
      <c r="B125" t="s">
        <v>770</v>
      </c>
      <c r="C125" t="s">
        <v>454</v>
      </c>
      <c r="D125" t="s">
        <v>768</v>
      </c>
      <c r="E125" t="s">
        <v>420</v>
      </c>
      <c r="F125" t="s">
        <v>769</v>
      </c>
      <c r="G125" t="s">
        <v>421</v>
      </c>
      <c r="H125" t="s">
        <v>503</v>
      </c>
      <c r="I125" t="s">
        <v>541</v>
      </c>
      <c r="L125" t="s">
        <v>492</v>
      </c>
      <c r="N125" t="s">
        <v>424</v>
      </c>
      <c r="P125" t="s">
        <v>425</v>
      </c>
      <c r="Q125" t="s">
        <v>765</v>
      </c>
      <c r="R125" t="s">
        <v>771</v>
      </c>
      <c r="T125" t="s">
        <v>507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 t="s">
        <v>428</v>
      </c>
      <c r="AG125" t="s">
        <v>429</v>
      </c>
      <c r="AH125" t="s">
        <v>429</v>
      </c>
      <c r="AI125" t="s">
        <v>429</v>
      </c>
      <c r="AJ125" t="s">
        <v>430</v>
      </c>
      <c r="AK125" t="s">
        <v>430</v>
      </c>
      <c r="AN125" t="s">
        <v>431</v>
      </c>
      <c r="AO125" t="s">
        <v>432</v>
      </c>
      <c r="AQ125">
        <v>0</v>
      </c>
      <c r="AR125">
        <v>0</v>
      </c>
      <c r="AS125">
        <v>8.2469000000000001</v>
      </c>
      <c r="AT125">
        <v>12</v>
      </c>
      <c r="AU125">
        <v>17.100000000000001</v>
      </c>
      <c r="AV125">
        <v>8.2469000000000001</v>
      </c>
      <c r="AW125">
        <v>12</v>
      </c>
      <c r="AX125">
        <v>17.100000000000001</v>
      </c>
      <c r="AY125">
        <v>0</v>
      </c>
      <c r="AZ125">
        <v>8.2469000000000001</v>
      </c>
      <c r="BA125">
        <v>12</v>
      </c>
      <c r="BB125">
        <v>17.100000000000001</v>
      </c>
      <c r="BC125">
        <v>0</v>
      </c>
      <c r="BD125">
        <v>46071</v>
      </c>
      <c r="BE125">
        <v>46078</v>
      </c>
    </row>
    <row r="126" spans="1:57" ht="15.2" customHeight="1" x14ac:dyDescent="0.25">
      <c r="A126" t="s">
        <v>101</v>
      </c>
      <c r="B126" t="s">
        <v>770</v>
      </c>
      <c r="C126" t="s">
        <v>454</v>
      </c>
      <c r="D126" t="s">
        <v>768</v>
      </c>
      <c r="E126" t="s">
        <v>420</v>
      </c>
      <c r="F126" t="s">
        <v>769</v>
      </c>
      <c r="G126" t="s">
        <v>421</v>
      </c>
      <c r="H126" t="s">
        <v>503</v>
      </c>
      <c r="I126" t="s">
        <v>541</v>
      </c>
      <c r="L126" t="s">
        <v>492</v>
      </c>
      <c r="N126" t="s">
        <v>424</v>
      </c>
      <c r="O126" t="s">
        <v>764</v>
      </c>
      <c r="P126" t="s">
        <v>425</v>
      </c>
      <c r="Q126" t="s">
        <v>765</v>
      </c>
      <c r="R126" t="s">
        <v>772</v>
      </c>
      <c r="S126" t="s">
        <v>541</v>
      </c>
      <c r="T126" t="s">
        <v>507</v>
      </c>
      <c r="W126">
        <v>46054.729166666664</v>
      </c>
      <c r="X126">
        <v>46055.708333333336</v>
      </c>
      <c r="Z126">
        <v>23.5</v>
      </c>
      <c r="AA126">
        <v>21.54</v>
      </c>
      <c r="AB126">
        <v>0</v>
      </c>
      <c r="AC126">
        <v>0</v>
      </c>
      <c r="AD126">
        <v>0</v>
      </c>
      <c r="AE126">
        <v>21.54</v>
      </c>
      <c r="AF126" t="s">
        <v>428</v>
      </c>
      <c r="AG126" t="s">
        <v>429</v>
      </c>
      <c r="AH126" t="s">
        <v>429</v>
      </c>
      <c r="AI126" t="s">
        <v>429</v>
      </c>
      <c r="AJ126" t="s">
        <v>474</v>
      </c>
      <c r="AK126" t="s">
        <v>474</v>
      </c>
      <c r="AN126" t="s">
        <v>431</v>
      </c>
      <c r="AO126" t="s">
        <v>432</v>
      </c>
      <c r="AQ126">
        <v>0</v>
      </c>
      <c r="AR126">
        <v>0</v>
      </c>
      <c r="AS126">
        <v>18.030799999999999</v>
      </c>
      <c r="AT126">
        <v>25</v>
      </c>
      <c r="AU126">
        <v>13</v>
      </c>
      <c r="AV126">
        <v>18.030799999999999</v>
      </c>
      <c r="AW126">
        <v>25</v>
      </c>
      <c r="AX126">
        <v>13</v>
      </c>
      <c r="AY126">
        <v>0</v>
      </c>
      <c r="AZ126">
        <v>18.030799999999999</v>
      </c>
      <c r="BA126">
        <v>25</v>
      </c>
      <c r="BB126">
        <v>13</v>
      </c>
      <c r="BC126">
        <v>0</v>
      </c>
      <c r="BD126">
        <v>46054</v>
      </c>
      <c r="BE126">
        <v>46058</v>
      </c>
    </row>
    <row r="127" spans="1:57" ht="15.2" customHeight="1" x14ac:dyDescent="0.25">
      <c r="A127" t="s">
        <v>101</v>
      </c>
      <c r="B127" t="s">
        <v>770</v>
      </c>
      <c r="C127" t="s">
        <v>454</v>
      </c>
      <c r="D127" t="s">
        <v>768</v>
      </c>
      <c r="E127" t="s">
        <v>420</v>
      </c>
      <c r="F127" t="s">
        <v>769</v>
      </c>
      <c r="G127" t="s">
        <v>421</v>
      </c>
      <c r="H127" t="s">
        <v>503</v>
      </c>
      <c r="I127" t="s">
        <v>541</v>
      </c>
      <c r="L127" t="s">
        <v>492</v>
      </c>
      <c r="N127" t="s">
        <v>424</v>
      </c>
      <c r="O127" t="s">
        <v>764</v>
      </c>
      <c r="P127" t="s">
        <v>425</v>
      </c>
      <c r="Q127" t="s">
        <v>765</v>
      </c>
      <c r="R127" t="s">
        <v>773</v>
      </c>
      <c r="S127" t="s">
        <v>541</v>
      </c>
      <c r="T127" t="s">
        <v>507</v>
      </c>
      <c r="W127">
        <v>46062.875</v>
      </c>
      <c r="X127">
        <v>46066.75</v>
      </c>
      <c r="Z127">
        <v>93</v>
      </c>
      <c r="AA127">
        <v>85.25</v>
      </c>
      <c r="AB127">
        <v>0</v>
      </c>
      <c r="AC127">
        <v>0</v>
      </c>
      <c r="AD127">
        <v>0</v>
      </c>
      <c r="AE127">
        <v>85.25</v>
      </c>
      <c r="AF127" t="s">
        <v>429</v>
      </c>
      <c r="AG127" t="s">
        <v>429</v>
      </c>
      <c r="AH127" t="s">
        <v>429</v>
      </c>
      <c r="AI127" t="s">
        <v>429</v>
      </c>
      <c r="AN127" t="s">
        <v>431</v>
      </c>
      <c r="AO127" t="s">
        <v>432</v>
      </c>
      <c r="AQ127">
        <v>0</v>
      </c>
      <c r="AR127">
        <v>0</v>
      </c>
      <c r="AS127">
        <v>18.030799999999999</v>
      </c>
      <c r="AT127">
        <v>25</v>
      </c>
      <c r="AU127">
        <v>13</v>
      </c>
      <c r="AV127">
        <v>18.030799999999999</v>
      </c>
      <c r="AW127">
        <v>25</v>
      </c>
      <c r="AX127">
        <v>13</v>
      </c>
      <c r="AY127">
        <v>0</v>
      </c>
      <c r="AZ127">
        <v>18.030799999999999</v>
      </c>
      <c r="BA127">
        <v>25</v>
      </c>
      <c r="BB127">
        <v>13</v>
      </c>
      <c r="BC127">
        <v>0</v>
      </c>
      <c r="BD127">
        <v>46062</v>
      </c>
      <c r="BE127">
        <v>46068</v>
      </c>
    </row>
    <row r="128" spans="1:57" ht="15.2" customHeight="1" x14ac:dyDescent="0.25">
      <c r="A128" t="s">
        <v>355</v>
      </c>
      <c r="B128" t="s">
        <v>774</v>
      </c>
      <c r="C128" t="s">
        <v>454</v>
      </c>
      <c r="D128" t="s">
        <v>768</v>
      </c>
      <c r="E128" t="s">
        <v>420</v>
      </c>
      <c r="F128" t="s">
        <v>769</v>
      </c>
      <c r="G128" t="s">
        <v>421</v>
      </c>
      <c r="H128" t="s">
        <v>579</v>
      </c>
      <c r="I128" t="s">
        <v>541</v>
      </c>
      <c r="L128" t="s">
        <v>492</v>
      </c>
      <c r="N128" t="s">
        <v>424</v>
      </c>
      <c r="P128" t="s">
        <v>425</v>
      </c>
      <c r="Q128" t="s">
        <v>54</v>
      </c>
      <c r="R128" t="s">
        <v>775</v>
      </c>
      <c r="T128" t="s">
        <v>507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 t="s">
        <v>428</v>
      </c>
      <c r="AG128" t="s">
        <v>429</v>
      </c>
      <c r="AH128" t="s">
        <v>429</v>
      </c>
      <c r="AI128" t="s">
        <v>429</v>
      </c>
      <c r="AJ128" t="s">
        <v>474</v>
      </c>
      <c r="AK128" t="s">
        <v>430</v>
      </c>
      <c r="AN128" t="s">
        <v>431</v>
      </c>
      <c r="AO128" t="s">
        <v>432</v>
      </c>
      <c r="AQ128">
        <v>0</v>
      </c>
      <c r="AR128">
        <v>0</v>
      </c>
      <c r="AS128">
        <v>71.7624</v>
      </c>
      <c r="AT128">
        <v>87</v>
      </c>
      <c r="AU128">
        <v>0.5</v>
      </c>
      <c r="AV128">
        <v>67.430900000000008</v>
      </c>
      <c r="AW128">
        <v>83</v>
      </c>
      <c r="AX128">
        <v>2</v>
      </c>
      <c r="AY128">
        <v>0</v>
      </c>
      <c r="AZ128">
        <v>71.7624</v>
      </c>
      <c r="BA128">
        <v>87</v>
      </c>
      <c r="BB128">
        <v>0.5</v>
      </c>
      <c r="BC128">
        <v>0</v>
      </c>
      <c r="BD128">
        <v>46072</v>
      </c>
      <c r="BE128">
        <v>46085</v>
      </c>
    </row>
    <row r="129" spans="1:57" ht="15.2" customHeight="1" x14ac:dyDescent="0.25">
      <c r="A129" t="s">
        <v>177</v>
      </c>
      <c r="B129" t="s">
        <v>776</v>
      </c>
      <c r="C129" t="s">
        <v>454</v>
      </c>
      <c r="D129" t="s">
        <v>768</v>
      </c>
      <c r="E129" t="s">
        <v>420</v>
      </c>
      <c r="F129" t="s">
        <v>769</v>
      </c>
      <c r="G129" t="s">
        <v>421</v>
      </c>
      <c r="H129" t="s">
        <v>503</v>
      </c>
      <c r="I129" t="s">
        <v>422</v>
      </c>
      <c r="L129" t="s">
        <v>492</v>
      </c>
      <c r="N129" t="s">
        <v>424</v>
      </c>
      <c r="O129" t="s">
        <v>527</v>
      </c>
      <c r="P129" t="s">
        <v>425</v>
      </c>
      <c r="Q129" t="s">
        <v>54</v>
      </c>
      <c r="R129" t="s">
        <v>777</v>
      </c>
      <c r="S129" t="s">
        <v>422</v>
      </c>
      <c r="T129" t="s">
        <v>507</v>
      </c>
      <c r="W129">
        <v>46054.041666666664</v>
      </c>
      <c r="X129">
        <v>0</v>
      </c>
      <c r="Z129">
        <v>0</v>
      </c>
      <c r="AA129">
        <v>0</v>
      </c>
      <c r="AB129">
        <v>368</v>
      </c>
      <c r="AC129">
        <v>0</v>
      </c>
      <c r="AD129">
        <v>0</v>
      </c>
      <c r="AE129">
        <v>0</v>
      </c>
      <c r="AF129" t="s">
        <v>428</v>
      </c>
      <c r="AG129" t="s">
        <v>429</v>
      </c>
      <c r="AH129" t="s">
        <v>429</v>
      </c>
      <c r="AI129" t="s">
        <v>428</v>
      </c>
      <c r="AJ129" t="s">
        <v>474</v>
      </c>
      <c r="AK129" t="s">
        <v>474</v>
      </c>
      <c r="AN129" t="s">
        <v>430</v>
      </c>
      <c r="AO129" t="s">
        <v>446</v>
      </c>
      <c r="AQ129">
        <v>6693310.1100000003</v>
      </c>
      <c r="AR129">
        <v>6693310.1100000003</v>
      </c>
      <c r="AS129">
        <v>15.021500000000001</v>
      </c>
      <c r="AT129">
        <v>302</v>
      </c>
      <c r="AU129">
        <v>94</v>
      </c>
      <c r="AV129">
        <v>14.623600000000001</v>
      </c>
      <c r="AW129">
        <v>196</v>
      </c>
      <c r="AX129">
        <v>91</v>
      </c>
      <c r="AY129">
        <v>0</v>
      </c>
      <c r="AZ129">
        <v>0</v>
      </c>
      <c r="BA129">
        <v>1100</v>
      </c>
      <c r="BB129">
        <v>0</v>
      </c>
      <c r="BC129">
        <v>1100</v>
      </c>
      <c r="BD129">
        <v>46053</v>
      </c>
      <c r="BE129">
        <v>46070</v>
      </c>
    </row>
    <row r="130" spans="1:57" ht="15.2" customHeight="1" x14ac:dyDescent="0.25">
      <c r="A130" t="s">
        <v>778</v>
      </c>
      <c r="B130" t="s">
        <v>779</v>
      </c>
      <c r="C130" t="s">
        <v>454</v>
      </c>
      <c r="D130" t="s">
        <v>768</v>
      </c>
      <c r="E130" t="s">
        <v>420</v>
      </c>
      <c r="F130" t="s">
        <v>769</v>
      </c>
      <c r="G130" t="s">
        <v>421</v>
      </c>
      <c r="H130" t="s">
        <v>618</v>
      </c>
      <c r="I130" t="s">
        <v>541</v>
      </c>
      <c r="L130" t="s">
        <v>492</v>
      </c>
      <c r="N130" t="s">
        <v>424</v>
      </c>
      <c r="O130" t="s">
        <v>527</v>
      </c>
      <c r="P130" t="s">
        <v>425</v>
      </c>
      <c r="Q130" t="s">
        <v>48</v>
      </c>
      <c r="R130" t="s">
        <v>780</v>
      </c>
      <c r="S130" t="s">
        <v>541</v>
      </c>
      <c r="T130" t="s">
        <v>507</v>
      </c>
      <c r="W130">
        <v>46016.833333333336</v>
      </c>
      <c r="X130">
        <v>46054.041666666664</v>
      </c>
      <c r="Z130">
        <v>893</v>
      </c>
      <c r="AA130">
        <v>818.58</v>
      </c>
      <c r="AB130">
        <v>796.24</v>
      </c>
      <c r="AC130">
        <v>446</v>
      </c>
      <c r="AD130">
        <v>454.5</v>
      </c>
      <c r="AE130">
        <v>364.08</v>
      </c>
      <c r="AF130" t="s">
        <v>428</v>
      </c>
      <c r="AG130" t="s">
        <v>429</v>
      </c>
      <c r="AH130" t="s">
        <v>429</v>
      </c>
      <c r="AI130" t="s">
        <v>428</v>
      </c>
      <c r="AJ130" t="s">
        <v>474</v>
      </c>
      <c r="AK130" t="s">
        <v>474</v>
      </c>
      <c r="AN130" t="s">
        <v>498</v>
      </c>
      <c r="AO130" t="s">
        <v>446</v>
      </c>
      <c r="AQ130">
        <v>14206404.52</v>
      </c>
      <c r="AR130">
        <v>14206404.52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57.800000000000004</v>
      </c>
      <c r="BA130">
        <v>465</v>
      </c>
      <c r="BB130">
        <v>85</v>
      </c>
      <c r="BC130">
        <v>0</v>
      </c>
      <c r="BD130">
        <v>46016</v>
      </c>
      <c r="BE130">
        <v>46033</v>
      </c>
    </row>
    <row r="131" spans="1:57" ht="15.2" customHeight="1" x14ac:dyDescent="0.25">
      <c r="A131" t="s">
        <v>781</v>
      </c>
      <c r="B131" t="s">
        <v>782</v>
      </c>
      <c r="C131" t="s">
        <v>454</v>
      </c>
      <c r="D131" t="s">
        <v>768</v>
      </c>
      <c r="E131" t="s">
        <v>420</v>
      </c>
      <c r="F131" t="s">
        <v>769</v>
      </c>
      <c r="G131" t="s">
        <v>421</v>
      </c>
      <c r="H131" t="s">
        <v>544</v>
      </c>
      <c r="I131" t="s">
        <v>422</v>
      </c>
      <c r="L131" t="s">
        <v>492</v>
      </c>
      <c r="N131" t="s">
        <v>424</v>
      </c>
      <c r="O131" t="s">
        <v>483</v>
      </c>
      <c r="P131" t="s">
        <v>440</v>
      </c>
      <c r="Q131" t="s">
        <v>456</v>
      </c>
      <c r="R131" t="s">
        <v>783</v>
      </c>
      <c r="T131" t="s">
        <v>427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428</v>
      </c>
      <c r="AG131" t="s">
        <v>429</v>
      </c>
      <c r="AH131" t="s">
        <v>429</v>
      </c>
      <c r="AI131" t="s">
        <v>429</v>
      </c>
      <c r="AK131" t="s">
        <v>474</v>
      </c>
      <c r="AN131" t="s">
        <v>431</v>
      </c>
      <c r="AO131" t="s">
        <v>432</v>
      </c>
      <c r="AQ131">
        <v>0</v>
      </c>
      <c r="AR131">
        <v>0</v>
      </c>
      <c r="AS131">
        <v>0</v>
      </c>
      <c r="AT131">
        <v>157</v>
      </c>
      <c r="AU131">
        <v>0</v>
      </c>
      <c r="AV131">
        <v>0</v>
      </c>
      <c r="AW131">
        <v>157</v>
      </c>
      <c r="AX131">
        <v>0</v>
      </c>
      <c r="AY131">
        <v>0</v>
      </c>
      <c r="AZ131">
        <v>0</v>
      </c>
      <c r="BA131">
        <v>157</v>
      </c>
      <c r="BB131">
        <v>0</v>
      </c>
      <c r="BC131">
        <v>0</v>
      </c>
      <c r="BD131">
        <v>46059</v>
      </c>
      <c r="BE131">
        <v>46061</v>
      </c>
    </row>
    <row r="132" spans="1:57" ht="15.2" customHeight="1" x14ac:dyDescent="0.25">
      <c r="A132" t="s">
        <v>781</v>
      </c>
      <c r="B132" t="s">
        <v>782</v>
      </c>
      <c r="C132" t="s">
        <v>454</v>
      </c>
      <c r="D132" t="s">
        <v>768</v>
      </c>
      <c r="E132" t="s">
        <v>420</v>
      </c>
      <c r="F132" t="s">
        <v>769</v>
      </c>
      <c r="G132" t="s">
        <v>421</v>
      </c>
      <c r="H132" t="s">
        <v>544</v>
      </c>
      <c r="I132" t="s">
        <v>422</v>
      </c>
      <c r="L132" t="s">
        <v>492</v>
      </c>
      <c r="N132" t="s">
        <v>424</v>
      </c>
      <c r="O132" t="s">
        <v>483</v>
      </c>
      <c r="P132" t="s">
        <v>440</v>
      </c>
      <c r="Q132" t="s">
        <v>456</v>
      </c>
      <c r="R132" t="s">
        <v>784</v>
      </c>
      <c r="S132" t="s">
        <v>422</v>
      </c>
      <c r="T132" t="s">
        <v>427</v>
      </c>
      <c r="W132">
        <v>46065.1875</v>
      </c>
      <c r="X132">
        <v>46071.458333333336</v>
      </c>
      <c r="Y132">
        <v>46056</v>
      </c>
      <c r="Z132">
        <v>22.5</v>
      </c>
      <c r="AA132">
        <v>20.63</v>
      </c>
      <c r="AB132">
        <v>19.990000000000002</v>
      </c>
      <c r="AC132">
        <v>0</v>
      </c>
      <c r="AD132">
        <v>1</v>
      </c>
      <c r="AE132">
        <v>19.63</v>
      </c>
      <c r="AF132" t="s">
        <v>428</v>
      </c>
      <c r="AG132" t="s">
        <v>429</v>
      </c>
      <c r="AH132" t="s">
        <v>429</v>
      </c>
      <c r="AI132" t="s">
        <v>428</v>
      </c>
      <c r="AK132" t="s">
        <v>474</v>
      </c>
      <c r="AN132" t="s">
        <v>430</v>
      </c>
      <c r="AO132" t="s">
        <v>446</v>
      </c>
      <c r="AQ132">
        <v>378234.19</v>
      </c>
      <c r="AR132">
        <v>378234.19</v>
      </c>
      <c r="AS132">
        <v>0</v>
      </c>
      <c r="AT132">
        <v>157</v>
      </c>
      <c r="AU132">
        <v>0</v>
      </c>
      <c r="AV132">
        <v>0</v>
      </c>
      <c r="AW132">
        <v>157</v>
      </c>
      <c r="AX132">
        <v>0</v>
      </c>
      <c r="AY132">
        <v>0</v>
      </c>
      <c r="AZ132">
        <v>0</v>
      </c>
      <c r="BA132">
        <v>157</v>
      </c>
      <c r="BB132">
        <v>0</v>
      </c>
      <c r="BC132">
        <v>0</v>
      </c>
      <c r="BD132">
        <v>46059</v>
      </c>
      <c r="BE132">
        <v>46066</v>
      </c>
    </row>
    <row r="133" spans="1:57" ht="15.2" customHeight="1" x14ac:dyDescent="0.25">
      <c r="A133" t="s">
        <v>781</v>
      </c>
      <c r="B133" t="s">
        <v>782</v>
      </c>
      <c r="C133" t="s">
        <v>454</v>
      </c>
      <c r="D133" t="s">
        <v>768</v>
      </c>
      <c r="E133" t="s">
        <v>420</v>
      </c>
      <c r="F133" t="s">
        <v>769</v>
      </c>
      <c r="G133" t="s">
        <v>421</v>
      </c>
      <c r="H133" t="s">
        <v>544</v>
      </c>
      <c r="I133" t="s">
        <v>422</v>
      </c>
      <c r="L133" t="s">
        <v>492</v>
      </c>
      <c r="N133" t="s">
        <v>424</v>
      </c>
      <c r="O133" t="s">
        <v>483</v>
      </c>
      <c r="P133" t="s">
        <v>440</v>
      </c>
      <c r="Q133" t="s">
        <v>456</v>
      </c>
      <c r="R133" t="s">
        <v>785</v>
      </c>
      <c r="S133" t="s">
        <v>422</v>
      </c>
      <c r="T133" t="s">
        <v>427</v>
      </c>
      <c r="W133">
        <v>46061.979166666664</v>
      </c>
      <c r="X133">
        <v>46063.208333333336</v>
      </c>
      <c r="Y133">
        <v>46056</v>
      </c>
      <c r="Z133">
        <v>29.5</v>
      </c>
      <c r="AA133">
        <v>27.04</v>
      </c>
      <c r="AB133">
        <v>27.04</v>
      </c>
      <c r="AC133">
        <v>0</v>
      </c>
      <c r="AD133">
        <v>0</v>
      </c>
      <c r="AE133">
        <v>27.04</v>
      </c>
      <c r="AF133" t="s">
        <v>428</v>
      </c>
      <c r="AG133" t="s">
        <v>429</v>
      </c>
      <c r="AH133" t="s">
        <v>429</v>
      </c>
      <c r="AI133" t="s">
        <v>428</v>
      </c>
      <c r="AK133" t="s">
        <v>474</v>
      </c>
      <c r="AN133" t="s">
        <v>445</v>
      </c>
      <c r="AO133" t="s">
        <v>446</v>
      </c>
      <c r="AQ133">
        <v>351737.67</v>
      </c>
      <c r="AR133">
        <v>351737.67</v>
      </c>
      <c r="AS133">
        <v>0</v>
      </c>
      <c r="AT133">
        <v>157</v>
      </c>
      <c r="AU133">
        <v>0</v>
      </c>
      <c r="AV133">
        <v>0</v>
      </c>
      <c r="AW133">
        <v>157</v>
      </c>
      <c r="AX133">
        <v>0</v>
      </c>
      <c r="AY133">
        <v>0</v>
      </c>
      <c r="AZ133">
        <v>0</v>
      </c>
      <c r="BA133">
        <v>157</v>
      </c>
      <c r="BB133">
        <v>0</v>
      </c>
      <c r="BC133">
        <v>0</v>
      </c>
      <c r="BD133">
        <v>46061</v>
      </c>
      <c r="BE133">
        <v>46063</v>
      </c>
    </row>
    <row r="134" spans="1:57" ht="15.2" customHeight="1" x14ac:dyDescent="0.25">
      <c r="A134" t="s">
        <v>133</v>
      </c>
      <c r="B134" t="s">
        <v>786</v>
      </c>
      <c r="C134" t="s">
        <v>454</v>
      </c>
      <c r="D134" t="s">
        <v>768</v>
      </c>
      <c r="E134" t="s">
        <v>420</v>
      </c>
      <c r="F134" t="s">
        <v>769</v>
      </c>
      <c r="G134" t="s">
        <v>421</v>
      </c>
      <c r="I134" t="s">
        <v>422</v>
      </c>
      <c r="L134" t="s">
        <v>492</v>
      </c>
      <c r="N134" t="s">
        <v>424</v>
      </c>
      <c r="P134" t="s">
        <v>440</v>
      </c>
      <c r="Q134" t="s">
        <v>337</v>
      </c>
      <c r="R134" t="s">
        <v>787</v>
      </c>
      <c r="T134" t="s">
        <v>427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428</v>
      </c>
      <c r="AG134" t="s">
        <v>429</v>
      </c>
      <c r="AH134" t="s">
        <v>429</v>
      </c>
      <c r="AI134" t="s">
        <v>429</v>
      </c>
      <c r="AK134" t="s">
        <v>430</v>
      </c>
      <c r="AN134" t="s">
        <v>431</v>
      </c>
      <c r="AO134" t="s">
        <v>432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46055</v>
      </c>
      <c r="BE134">
        <v>46063</v>
      </c>
    </row>
    <row r="135" spans="1:57" ht="15.2" customHeight="1" x14ac:dyDescent="0.25">
      <c r="A135" t="s">
        <v>788</v>
      </c>
      <c r="B135" t="s">
        <v>789</v>
      </c>
      <c r="C135" t="s">
        <v>790</v>
      </c>
      <c r="D135" t="s">
        <v>642</v>
      </c>
      <c r="E135" t="s">
        <v>420</v>
      </c>
      <c r="F135" t="s">
        <v>651</v>
      </c>
      <c r="G135" t="s">
        <v>421</v>
      </c>
      <c r="H135" t="s">
        <v>579</v>
      </c>
      <c r="I135" t="s">
        <v>422</v>
      </c>
      <c r="L135" t="s">
        <v>644</v>
      </c>
      <c r="N135" t="s">
        <v>424</v>
      </c>
      <c r="O135" t="s">
        <v>513</v>
      </c>
      <c r="P135" t="s">
        <v>425</v>
      </c>
      <c r="Q135" t="s">
        <v>109</v>
      </c>
      <c r="R135" t="s">
        <v>791</v>
      </c>
      <c r="S135" t="s">
        <v>422</v>
      </c>
      <c r="T135" t="s">
        <v>507</v>
      </c>
      <c r="W135">
        <v>46057.833333333336</v>
      </c>
      <c r="X135">
        <v>46060.916666666664</v>
      </c>
      <c r="Y135">
        <v>46028</v>
      </c>
      <c r="Z135">
        <v>74</v>
      </c>
      <c r="AA135">
        <v>67.83</v>
      </c>
      <c r="AB135">
        <v>21.92</v>
      </c>
      <c r="AC135">
        <v>16</v>
      </c>
      <c r="AD135">
        <v>16</v>
      </c>
      <c r="AE135">
        <v>51.83</v>
      </c>
      <c r="AF135" t="s">
        <v>428</v>
      </c>
      <c r="AG135" t="s">
        <v>429</v>
      </c>
      <c r="AH135" t="s">
        <v>429</v>
      </c>
      <c r="AI135" t="s">
        <v>428</v>
      </c>
      <c r="AJ135" t="s">
        <v>474</v>
      </c>
      <c r="AK135" t="s">
        <v>474</v>
      </c>
      <c r="AN135" t="s">
        <v>485</v>
      </c>
      <c r="AO135" t="s">
        <v>446</v>
      </c>
      <c r="AQ135">
        <v>780694.36</v>
      </c>
      <c r="AR135">
        <v>780694.36</v>
      </c>
      <c r="AS135">
        <v>19.0715</v>
      </c>
      <c r="AT135">
        <v>51</v>
      </c>
      <c r="AU135">
        <v>55</v>
      </c>
      <c r="AV135">
        <v>19.0715</v>
      </c>
      <c r="AW135">
        <v>51</v>
      </c>
      <c r="AX135">
        <v>55</v>
      </c>
      <c r="AY135">
        <v>0</v>
      </c>
      <c r="AZ135">
        <v>19.0715</v>
      </c>
      <c r="BA135">
        <v>51</v>
      </c>
      <c r="BB135">
        <v>55</v>
      </c>
      <c r="BC135">
        <v>0</v>
      </c>
      <c r="BD135">
        <v>46057</v>
      </c>
      <c r="BE135">
        <v>46063</v>
      </c>
    </row>
    <row r="136" spans="1:57" ht="15.2" customHeight="1" x14ac:dyDescent="0.25">
      <c r="A136" t="s">
        <v>283</v>
      </c>
      <c r="B136" t="s">
        <v>792</v>
      </c>
      <c r="C136" t="s">
        <v>513</v>
      </c>
      <c r="D136" t="s">
        <v>698</v>
      </c>
      <c r="E136" t="s">
        <v>420</v>
      </c>
      <c r="F136" t="s">
        <v>699</v>
      </c>
      <c r="G136" t="s">
        <v>469</v>
      </c>
      <c r="H136" t="s">
        <v>544</v>
      </c>
      <c r="I136" t="s">
        <v>422</v>
      </c>
      <c r="L136" t="s">
        <v>472</v>
      </c>
      <c r="N136" t="s">
        <v>424</v>
      </c>
      <c r="P136" t="s">
        <v>425</v>
      </c>
      <c r="Q136" t="s">
        <v>793</v>
      </c>
      <c r="R136" t="s">
        <v>794</v>
      </c>
      <c r="T136" t="s">
        <v>507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428</v>
      </c>
      <c r="AG136" t="s">
        <v>429</v>
      </c>
      <c r="AH136" t="s">
        <v>429</v>
      </c>
      <c r="AI136" t="s">
        <v>429</v>
      </c>
      <c r="AJ136" t="s">
        <v>474</v>
      </c>
      <c r="AK136" t="s">
        <v>430</v>
      </c>
      <c r="AN136" t="s">
        <v>431</v>
      </c>
      <c r="AO136" t="s">
        <v>432</v>
      </c>
      <c r="AQ136">
        <v>0</v>
      </c>
      <c r="AR136">
        <v>0</v>
      </c>
      <c r="AS136">
        <v>29.658300000000001</v>
      </c>
      <c r="AT136">
        <v>106</v>
      </c>
      <c r="AU136">
        <v>65.5</v>
      </c>
      <c r="AV136">
        <v>29.658300000000001</v>
      </c>
      <c r="AW136">
        <v>106</v>
      </c>
      <c r="AX136">
        <v>65.5</v>
      </c>
      <c r="AY136">
        <v>0</v>
      </c>
      <c r="AZ136">
        <v>29.658300000000001</v>
      </c>
      <c r="BA136">
        <v>106</v>
      </c>
      <c r="BB136">
        <v>65.5</v>
      </c>
      <c r="BC136">
        <v>0</v>
      </c>
      <c r="BD136">
        <v>46047</v>
      </c>
      <c r="BE136">
        <v>46064</v>
      </c>
    </row>
    <row r="137" spans="1:57" ht="15.2" customHeight="1" x14ac:dyDescent="0.25">
      <c r="A137" t="s">
        <v>202</v>
      </c>
      <c r="B137" t="s">
        <v>795</v>
      </c>
      <c r="C137" t="s">
        <v>513</v>
      </c>
      <c r="D137" t="s">
        <v>698</v>
      </c>
      <c r="E137" t="s">
        <v>420</v>
      </c>
      <c r="F137" t="s">
        <v>699</v>
      </c>
      <c r="G137" t="s">
        <v>469</v>
      </c>
      <c r="H137" t="s">
        <v>544</v>
      </c>
      <c r="I137" t="s">
        <v>422</v>
      </c>
      <c r="L137" t="s">
        <v>472</v>
      </c>
      <c r="N137" t="s">
        <v>424</v>
      </c>
      <c r="O137" t="s">
        <v>718</v>
      </c>
      <c r="P137" t="s">
        <v>440</v>
      </c>
      <c r="Q137" t="s">
        <v>51</v>
      </c>
      <c r="R137" t="s">
        <v>796</v>
      </c>
      <c r="S137" t="s">
        <v>422</v>
      </c>
      <c r="T137" t="s">
        <v>507</v>
      </c>
      <c r="W137">
        <v>46066.083333333336</v>
      </c>
      <c r="X137">
        <v>0</v>
      </c>
      <c r="Y137">
        <v>45154</v>
      </c>
      <c r="Z137">
        <v>0</v>
      </c>
      <c r="AA137">
        <v>0</v>
      </c>
      <c r="AB137">
        <v>62.15</v>
      </c>
      <c r="AC137">
        <v>0</v>
      </c>
      <c r="AD137">
        <v>0</v>
      </c>
      <c r="AE137">
        <v>0</v>
      </c>
      <c r="AF137" t="s">
        <v>428</v>
      </c>
      <c r="AG137" t="s">
        <v>429</v>
      </c>
      <c r="AH137" t="s">
        <v>428</v>
      </c>
      <c r="AI137" t="s">
        <v>428</v>
      </c>
      <c r="AK137" t="s">
        <v>474</v>
      </c>
      <c r="AM137" t="s">
        <v>485</v>
      </c>
      <c r="AN137" t="s">
        <v>430</v>
      </c>
      <c r="AO137" t="s">
        <v>446</v>
      </c>
      <c r="AQ137">
        <v>1145983.6299999999</v>
      </c>
      <c r="AR137">
        <v>1145983.6299999999</v>
      </c>
      <c r="AS137">
        <v>26.763000000000002</v>
      </c>
      <c r="AT137">
        <v>110</v>
      </c>
      <c r="AU137">
        <v>70</v>
      </c>
      <c r="AV137">
        <v>26.763000000000002</v>
      </c>
      <c r="AW137">
        <v>110</v>
      </c>
      <c r="AX137">
        <v>70</v>
      </c>
      <c r="AY137">
        <v>0</v>
      </c>
      <c r="AZ137">
        <v>46</v>
      </c>
      <c r="BA137">
        <v>221</v>
      </c>
      <c r="BB137">
        <v>70</v>
      </c>
      <c r="BC137">
        <v>0</v>
      </c>
      <c r="BD137">
        <v>46065</v>
      </c>
      <c r="BE137">
        <v>46084</v>
      </c>
    </row>
    <row r="138" spans="1:57" ht="15.2" customHeight="1" x14ac:dyDescent="0.25">
      <c r="A138" t="s">
        <v>311</v>
      </c>
      <c r="B138" t="s">
        <v>797</v>
      </c>
      <c r="C138" t="s">
        <v>798</v>
      </c>
      <c r="D138" t="s">
        <v>518</v>
      </c>
      <c r="E138" t="s">
        <v>420</v>
      </c>
      <c r="F138" t="s">
        <v>519</v>
      </c>
      <c r="G138" t="s">
        <v>421</v>
      </c>
      <c r="I138" t="s">
        <v>422</v>
      </c>
      <c r="L138" t="s">
        <v>492</v>
      </c>
      <c r="N138" t="s">
        <v>424</v>
      </c>
      <c r="O138" t="s">
        <v>692</v>
      </c>
      <c r="P138" t="s">
        <v>440</v>
      </c>
      <c r="Q138" t="s">
        <v>51</v>
      </c>
      <c r="R138" t="s">
        <v>522</v>
      </c>
      <c r="S138" t="s">
        <v>422</v>
      </c>
      <c r="T138" t="s">
        <v>507</v>
      </c>
      <c r="W138">
        <v>46063.625</v>
      </c>
      <c r="X138">
        <v>0</v>
      </c>
      <c r="Y138">
        <v>45305</v>
      </c>
      <c r="Z138">
        <v>0</v>
      </c>
      <c r="AA138">
        <v>0</v>
      </c>
      <c r="AB138">
        <v>158.34</v>
      </c>
      <c r="AC138">
        <v>0</v>
      </c>
      <c r="AD138">
        <v>0</v>
      </c>
      <c r="AE138">
        <v>0</v>
      </c>
      <c r="AF138" t="s">
        <v>428</v>
      </c>
      <c r="AG138" t="s">
        <v>429</v>
      </c>
      <c r="AH138" t="s">
        <v>428</v>
      </c>
      <c r="AI138" t="s">
        <v>428</v>
      </c>
      <c r="AK138" t="s">
        <v>474</v>
      </c>
      <c r="AM138" t="s">
        <v>430</v>
      </c>
      <c r="AN138" t="s">
        <v>430</v>
      </c>
      <c r="AO138" t="s">
        <v>446</v>
      </c>
      <c r="AQ138">
        <v>4612929.1500000004</v>
      </c>
      <c r="AR138">
        <v>4612929.1500000004</v>
      </c>
      <c r="AS138">
        <v>34.992100000000001</v>
      </c>
      <c r="AT138">
        <v>63</v>
      </c>
      <c r="AU138">
        <v>33</v>
      </c>
      <c r="AV138">
        <v>34.992100000000001</v>
      </c>
      <c r="AW138">
        <v>63</v>
      </c>
      <c r="AX138">
        <v>33</v>
      </c>
      <c r="AY138">
        <v>0</v>
      </c>
      <c r="AZ138">
        <v>54</v>
      </c>
      <c r="BA138">
        <v>130</v>
      </c>
      <c r="BB138">
        <v>33</v>
      </c>
      <c r="BC138">
        <v>0</v>
      </c>
      <c r="BD138">
        <v>46062</v>
      </c>
      <c r="BE138">
        <v>46078</v>
      </c>
    </row>
    <row r="139" spans="1:57" ht="15.2" customHeight="1" x14ac:dyDescent="0.25">
      <c r="A139" t="s">
        <v>799</v>
      </c>
      <c r="B139" t="s">
        <v>800</v>
      </c>
      <c r="C139" t="s">
        <v>39</v>
      </c>
      <c r="D139" t="s">
        <v>698</v>
      </c>
      <c r="E139" t="s">
        <v>420</v>
      </c>
      <c r="F139" t="s">
        <v>699</v>
      </c>
      <c r="G139" t="s">
        <v>469</v>
      </c>
      <c r="H139" t="s">
        <v>503</v>
      </c>
      <c r="I139" t="s">
        <v>422</v>
      </c>
      <c r="L139" t="s">
        <v>472</v>
      </c>
      <c r="N139" t="s">
        <v>424</v>
      </c>
      <c r="P139" t="s">
        <v>440</v>
      </c>
      <c r="Q139" t="s">
        <v>51</v>
      </c>
      <c r="R139" t="s">
        <v>801</v>
      </c>
      <c r="T139" t="s">
        <v>507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428</v>
      </c>
      <c r="AG139" t="s">
        <v>429</v>
      </c>
      <c r="AH139" t="s">
        <v>428</v>
      </c>
      <c r="AI139" t="s">
        <v>429</v>
      </c>
      <c r="AK139" t="s">
        <v>430</v>
      </c>
      <c r="AM139" t="s">
        <v>485</v>
      </c>
      <c r="AN139" t="s">
        <v>431</v>
      </c>
      <c r="AO139" t="s">
        <v>432</v>
      </c>
      <c r="AQ139">
        <v>0</v>
      </c>
      <c r="AR139">
        <v>0</v>
      </c>
      <c r="AS139">
        <v>3.2846000000000002</v>
      </c>
      <c r="AT139">
        <v>45</v>
      </c>
      <c r="AU139">
        <v>91</v>
      </c>
      <c r="AV139">
        <v>3.2846000000000002</v>
      </c>
      <c r="AW139">
        <v>45</v>
      </c>
      <c r="AX139">
        <v>91</v>
      </c>
      <c r="AY139">
        <v>0</v>
      </c>
      <c r="AZ139">
        <v>3.2846000000000002</v>
      </c>
      <c r="BA139">
        <v>45</v>
      </c>
      <c r="BB139">
        <v>91</v>
      </c>
      <c r="BC139">
        <v>0</v>
      </c>
      <c r="BD139">
        <v>46081</v>
      </c>
      <c r="BE139">
        <v>46093</v>
      </c>
    </row>
    <row r="140" spans="1:57" ht="15.2" customHeight="1" x14ac:dyDescent="0.25">
      <c r="A140" t="s">
        <v>130</v>
      </c>
      <c r="B140" t="s">
        <v>802</v>
      </c>
      <c r="C140" t="s">
        <v>803</v>
      </c>
      <c r="D140" t="s">
        <v>419</v>
      </c>
      <c r="E140" t="s">
        <v>420</v>
      </c>
      <c r="F140" t="s">
        <v>804</v>
      </c>
      <c r="G140" t="s">
        <v>421</v>
      </c>
      <c r="I140" t="s">
        <v>541</v>
      </c>
      <c r="L140" t="s">
        <v>492</v>
      </c>
      <c r="N140" t="s">
        <v>424</v>
      </c>
      <c r="O140" t="s">
        <v>568</v>
      </c>
      <c r="P140" t="s">
        <v>440</v>
      </c>
      <c r="Q140" t="s">
        <v>447</v>
      </c>
      <c r="R140" t="s">
        <v>805</v>
      </c>
      <c r="S140" t="s">
        <v>541</v>
      </c>
      <c r="T140" t="s">
        <v>672</v>
      </c>
      <c r="W140">
        <v>46059.382638888892</v>
      </c>
      <c r="X140">
        <v>46069.541666666664</v>
      </c>
      <c r="Y140">
        <v>0</v>
      </c>
      <c r="Z140">
        <v>243.82</v>
      </c>
      <c r="AA140">
        <v>223.5</v>
      </c>
      <c r="AB140">
        <v>0</v>
      </c>
      <c r="AC140">
        <v>0</v>
      </c>
      <c r="AD140">
        <v>12.780000000000001</v>
      </c>
      <c r="AE140">
        <v>210.72</v>
      </c>
      <c r="AF140" t="s">
        <v>429</v>
      </c>
      <c r="AG140" t="s">
        <v>429</v>
      </c>
      <c r="AH140" t="s">
        <v>429</v>
      </c>
      <c r="AI140" t="s">
        <v>429</v>
      </c>
      <c r="AN140" t="s">
        <v>431</v>
      </c>
      <c r="AO140" t="s">
        <v>432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46059</v>
      </c>
      <c r="BE140">
        <v>46061</v>
      </c>
    </row>
    <row r="141" spans="1:57" ht="15.2" customHeight="1" x14ac:dyDescent="0.25">
      <c r="A141" t="s">
        <v>296</v>
      </c>
      <c r="B141" t="s">
        <v>806</v>
      </c>
      <c r="C141" t="s">
        <v>803</v>
      </c>
      <c r="D141" t="s">
        <v>489</v>
      </c>
      <c r="E141" t="s">
        <v>420</v>
      </c>
      <c r="F141" t="s">
        <v>490</v>
      </c>
      <c r="G141" t="s">
        <v>469</v>
      </c>
      <c r="I141" t="s">
        <v>422</v>
      </c>
      <c r="L141" t="s">
        <v>492</v>
      </c>
      <c r="N141" t="s">
        <v>424</v>
      </c>
      <c r="O141" t="s">
        <v>608</v>
      </c>
      <c r="P141" t="s">
        <v>440</v>
      </c>
      <c r="Q141" t="s">
        <v>594</v>
      </c>
      <c r="R141" t="s">
        <v>807</v>
      </c>
      <c r="S141" t="s">
        <v>422</v>
      </c>
      <c r="T141" t="s">
        <v>507</v>
      </c>
      <c r="W141">
        <v>46066.916666666664</v>
      </c>
      <c r="X141">
        <v>46067.375</v>
      </c>
      <c r="Y141">
        <v>0</v>
      </c>
      <c r="Z141">
        <v>11</v>
      </c>
      <c r="AA141">
        <v>10.08</v>
      </c>
      <c r="AB141">
        <v>0</v>
      </c>
      <c r="AC141">
        <v>0</v>
      </c>
      <c r="AD141">
        <v>0</v>
      </c>
      <c r="AE141">
        <v>10.08</v>
      </c>
      <c r="AF141" t="s">
        <v>429</v>
      </c>
      <c r="AG141" t="s">
        <v>429</v>
      </c>
      <c r="AH141" t="s">
        <v>429</v>
      </c>
      <c r="AI141" t="s">
        <v>429</v>
      </c>
      <c r="AN141" t="s">
        <v>431</v>
      </c>
      <c r="AO141" t="s">
        <v>432</v>
      </c>
      <c r="AQ141">
        <v>0</v>
      </c>
      <c r="AR141">
        <v>0</v>
      </c>
      <c r="AS141">
        <v>13.783800000000001</v>
      </c>
      <c r="AT141">
        <v>33</v>
      </c>
      <c r="AU141">
        <v>49</v>
      </c>
      <c r="AV141">
        <v>13.783800000000001</v>
      </c>
      <c r="AW141">
        <v>33</v>
      </c>
      <c r="AX141">
        <v>49</v>
      </c>
      <c r="AY141">
        <v>0</v>
      </c>
      <c r="AZ141">
        <v>13.783800000000001</v>
      </c>
      <c r="BA141">
        <v>33</v>
      </c>
      <c r="BB141">
        <v>49</v>
      </c>
      <c r="BC141">
        <v>0</v>
      </c>
      <c r="BD141">
        <v>46066</v>
      </c>
      <c r="BE141">
        <v>46068</v>
      </c>
    </row>
    <row r="142" spans="1:57" ht="15.2" customHeight="1" x14ac:dyDescent="0.25">
      <c r="A142" t="s">
        <v>296</v>
      </c>
      <c r="B142" t="s">
        <v>806</v>
      </c>
      <c r="C142" t="s">
        <v>803</v>
      </c>
      <c r="D142" t="s">
        <v>489</v>
      </c>
      <c r="E142" t="s">
        <v>420</v>
      </c>
      <c r="F142" t="s">
        <v>490</v>
      </c>
      <c r="G142" t="s">
        <v>469</v>
      </c>
      <c r="I142" t="s">
        <v>422</v>
      </c>
      <c r="L142" t="s">
        <v>492</v>
      </c>
      <c r="N142" t="s">
        <v>424</v>
      </c>
      <c r="O142" t="s">
        <v>670</v>
      </c>
      <c r="P142" t="s">
        <v>440</v>
      </c>
      <c r="Q142" t="s">
        <v>51</v>
      </c>
      <c r="R142" t="s">
        <v>627</v>
      </c>
      <c r="S142" t="s">
        <v>422</v>
      </c>
      <c r="T142" t="s">
        <v>507</v>
      </c>
      <c r="W142">
        <v>46066.541666666664</v>
      </c>
      <c r="X142">
        <v>0</v>
      </c>
      <c r="Y142">
        <v>46040</v>
      </c>
      <c r="Z142">
        <v>0</v>
      </c>
      <c r="AA142">
        <v>0</v>
      </c>
      <c r="AB142">
        <v>46.84</v>
      </c>
      <c r="AC142">
        <v>0</v>
      </c>
      <c r="AD142">
        <v>0</v>
      </c>
      <c r="AE142">
        <v>0</v>
      </c>
      <c r="AF142" t="s">
        <v>428</v>
      </c>
      <c r="AG142" t="s">
        <v>429</v>
      </c>
      <c r="AH142" t="s">
        <v>428</v>
      </c>
      <c r="AI142" t="s">
        <v>428</v>
      </c>
      <c r="AK142" t="s">
        <v>474</v>
      </c>
      <c r="AM142" t="s">
        <v>430</v>
      </c>
      <c r="AN142" t="s">
        <v>430</v>
      </c>
      <c r="AO142" t="s">
        <v>446</v>
      </c>
      <c r="AQ142">
        <v>919689.35</v>
      </c>
      <c r="AR142">
        <v>919689.35</v>
      </c>
      <c r="AS142">
        <v>13.783800000000001</v>
      </c>
      <c r="AT142">
        <v>33</v>
      </c>
      <c r="AU142">
        <v>49</v>
      </c>
      <c r="AV142">
        <v>13.783800000000001</v>
      </c>
      <c r="AW142">
        <v>33</v>
      </c>
      <c r="AX142">
        <v>49</v>
      </c>
      <c r="AY142">
        <v>0</v>
      </c>
      <c r="AZ142">
        <v>13.783800000000001</v>
      </c>
      <c r="BA142">
        <v>33</v>
      </c>
      <c r="BB142">
        <v>49</v>
      </c>
      <c r="BC142">
        <v>0</v>
      </c>
      <c r="BD142">
        <v>46066</v>
      </c>
      <c r="BE142">
        <v>46077</v>
      </c>
    </row>
    <row r="143" spans="1:57" ht="15.2" customHeight="1" x14ac:dyDescent="0.25">
      <c r="A143" t="s">
        <v>808</v>
      </c>
      <c r="B143" t="s">
        <v>809</v>
      </c>
      <c r="C143" t="s">
        <v>803</v>
      </c>
      <c r="D143" t="s">
        <v>489</v>
      </c>
      <c r="E143" t="s">
        <v>420</v>
      </c>
      <c r="F143" t="s">
        <v>622</v>
      </c>
      <c r="G143" t="s">
        <v>469</v>
      </c>
      <c r="I143" t="s">
        <v>422</v>
      </c>
      <c r="L143" t="s">
        <v>492</v>
      </c>
      <c r="N143" t="s">
        <v>424</v>
      </c>
      <c r="O143" t="s">
        <v>560</v>
      </c>
      <c r="P143" t="s">
        <v>425</v>
      </c>
      <c r="Q143" t="s">
        <v>84</v>
      </c>
      <c r="R143" t="s">
        <v>810</v>
      </c>
      <c r="S143" t="s">
        <v>422</v>
      </c>
      <c r="T143" t="s">
        <v>507</v>
      </c>
      <c r="W143">
        <v>46030.208333333336</v>
      </c>
      <c r="X143">
        <v>46040.75</v>
      </c>
      <c r="Y143">
        <v>45788</v>
      </c>
      <c r="Z143">
        <v>253</v>
      </c>
      <c r="AA143">
        <v>231.92000000000002</v>
      </c>
      <c r="AB143">
        <v>209.98000000000002</v>
      </c>
      <c r="AC143">
        <v>143</v>
      </c>
      <c r="AD143">
        <v>149</v>
      </c>
      <c r="AE143">
        <v>82.92</v>
      </c>
      <c r="AF143" t="s">
        <v>428</v>
      </c>
      <c r="AG143" t="s">
        <v>429</v>
      </c>
      <c r="AH143" t="s">
        <v>429</v>
      </c>
      <c r="AI143" t="s">
        <v>428</v>
      </c>
      <c r="AJ143" t="s">
        <v>474</v>
      </c>
      <c r="AK143" t="s">
        <v>474</v>
      </c>
      <c r="AN143" t="s">
        <v>485</v>
      </c>
      <c r="AO143" t="s">
        <v>811</v>
      </c>
      <c r="AQ143">
        <v>6629654.9199999999</v>
      </c>
      <c r="AR143">
        <v>6629654.9199999999</v>
      </c>
      <c r="AS143">
        <v>6.7158000000000007</v>
      </c>
      <c r="AT143">
        <v>40</v>
      </c>
      <c r="AU143">
        <v>79.5</v>
      </c>
      <c r="AV143">
        <v>5.2826000000000004</v>
      </c>
      <c r="AW143">
        <v>43</v>
      </c>
      <c r="AX143">
        <v>85</v>
      </c>
      <c r="AY143">
        <v>0</v>
      </c>
      <c r="AZ143">
        <v>6.7158000000000007</v>
      </c>
      <c r="BA143">
        <v>40</v>
      </c>
      <c r="BB143">
        <v>79.5</v>
      </c>
      <c r="BC143">
        <v>0</v>
      </c>
      <c r="BD143">
        <v>46066</v>
      </c>
      <c r="BE143">
        <v>46075</v>
      </c>
    </row>
    <row r="144" spans="1:57" ht="15.2" customHeight="1" x14ac:dyDescent="0.25">
      <c r="A144" t="s">
        <v>361</v>
      </c>
      <c r="B144" t="s">
        <v>812</v>
      </c>
      <c r="C144" t="s">
        <v>813</v>
      </c>
      <c r="D144" t="s">
        <v>525</v>
      </c>
      <c r="E144" t="s">
        <v>420</v>
      </c>
      <c r="F144" t="s">
        <v>651</v>
      </c>
      <c r="G144" t="s">
        <v>421</v>
      </c>
      <c r="I144" t="s">
        <v>422</v>
      </c>
      <c r="L144" t="s">
        <v>644</v>
      </c>
      <c r="N144" t="s">
        <v>520</v>
      </c>
      <c r="O144" t="s">
        <v>531</v>
      </c>
      <c r="P144" t="s">
        <v>440</v>
      </c>
      <c r="Q144" t="s">
        <v>537</v>
      </c>
      <c r="R144" t="s">
        <v>814</v>
      </c>
      <c r="S144" t="s">
        <v>422</v>
      </c>
      <c r="T144" t="s">
        <v>507</v>
      </c>
      <c r="W144">
        <v>46060.208333333336</v>
      </c>
      <c r="X144">
        <v>46064.208333333336</v>
      </c>
      <c r="Y144">
        <v>45610</v>
      </c>
      <c r="Z144">
        <v>72</v>
      </c>
      <c r="AA144">
        <v>67.2</v>
      </c>
      <c r="AB144">
        <v>76.34</v>
      </c>
      <c r="AC144">
        <v>0</v>
      </c>
      <c r="AD144">
        <v>20.2</v>
      </c>
      <c r="AE144">
        <v>47</v>
      </c>
      <c r="AF144" t="s">
        <v>428</v>
      </c>
      <c r="AG144" t="s">
        <v>429</v>
      </c>
      <c r="AH144" t="s">
        <v>429</v>
      </c>
      <c r="AI144" t="s">
        <v>428</v>
      </c>
      <c r="AK144" t="s">
        <v>485</v>
      </c>
      <c r="AN144" t="s">
        <v>430</v>
      </c>
      <c r="AO144" t="s">
        <v>446</v>
      </c>
      <c r="AQ144">
        <v>1906488.8</v>
      </c>
      <c r="AR144">
        <v>1906488.8</v>
      </c>
      <c r="AS144">
        <v>11.545400000000001</v>
      </c>
      <c r="AT144">
        <v>14</v>
      </c>
      <c r="AU144">
        <v>1</v>
      </c>
      <c r="AV144">
        <v>11.545400000000001</v>
      </c>
      <c r="AW144">
        <v>14</v>
      </c>
      <c r="AX144">
        <v>1</v>
      </c>
      <c r="AY144">
        <v>0</v>
      </c>
      <c r="AZ144">
        <v>11.545400000000001</v>
      </c>
      <c r="BA144">
        <v>14</v>
      </c>
      <c r="BB144">
        <v>1</v>
      </c>
      <c r="BC144">
        <v>0</v>
      </c>
      <c r="BD144">
        <v>46048</v>
      </c>
      <c r="BE144">
        <v>46063</v>
      </c>
    </row>
    <row r="145" spans="1:57" ht="15.2" customHeight="1" x14ac:dyDescent="0.25">
      <c r="A145" t="s">
        <v>155</v>
      </c>
      <c r="B145" t="s">
        <v>815</v>
      </c>
      <c r="C145" t="s">
        <v>816</v>
      </c>
      <c r="D145" t="s">
        <v>482</v>
      </c>
      <c r="E145" t="s">
        <v>420</v>
      </c>
      <c r="F145" t="s">
        <v>769</v>
      </c>
      <c r="G145" t="s">
        <v>421</v>
      </c>
      <c r="I145" t="s">
        <v>471</v>
      </c>
      <c r="L145" t="s">
        <v>492</v>
      </c>
      <c r="N145" t="s">
        <v>424</v>
      </c>
      <c r="O145" t="s">
        <v>536</v>
      </c>
      <c r="P145" t="s">
        <v>425</v>
      </c>
      <c r="Q145" t="s">
        <v>48</v>
      </c>
      <c r="R145" t="s">
        <v>817</v>
      </c>
      <c r="S145" t="s">
        <v>471</v>
      </c>
      <c r="T145" t="s">
        <v>507</v>
      </c>
      <c r="W145">
        <v>46027.708333333336</v>
      </c>
      <c r="X145">
        <v>46071</v>
      </c>
      <c r="Y145">
        <v>0</v>
      </c>
      <c r="Z145">
        <v>1032.5</v>
      </c>
      <c r="AA145">
        <v>946.46</v>
      </c>
      <c r="AB145">
        <v>956.22</v>
      </c>
      <c r="AC145">
        <v>457.41</v>
      </c>
      <c r="AD145">
        <v>484.74</v>
      </c>
      <c r="AE145">
        <v>461.72</v>
      </c>
      <c r="AF145" t="s">
        <v>428</v>
      </c>
      <c r="AG145" t="s">
        <v>429</v>
      </c>
      <c r="AH145" t="s">
        <v>429</v>
      </c>
      <c r="AI145" t="s">
        <v>428</v>
      </c>
      <c r="AJ145" t="s">
        <v>474</v>
      </c>
      <c r="AK145" t="s">
        <v>474</v>
      </c>
      <c r="AN145" t="s">
        <v>498</v>
      </c>
      <c r="AO145" t="s">
        <v>446</v>
      </c>
      <c r="AQ145">
        <v>7418452.04</v>
      </c>
      <c r="AR145">
        <v>7418452.04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64.099999999999994</v>
      </c>
      <c r="BA145">
        <v>228</v>
      </c>
      <c r="BB145">
        <v>66.099999999999994</v>
      </c>
      <c r="BC145">
        <v>0</v>
      </c>
      <c r="BD145">
        <v>46026</v>
      </c>
      <c r="BE145">
        <v>46044</v>
      </c>
    </row>
    <row r="146" spans="1:57" ht="15.2" customHeight="1" x14ac:dyDescent="0.25">
      <c r="A146" t="s">
        <v>155</v>
      </c>
      <c r="B146" t="s">
        <v>815</v>
      </c>
      <c r="C146" t="s">
        <v>816</v>
      </c>
      <c r="D146" t="s">
        <v>482</v>
      </c>
      <c r="E146" t="s">
        <v>420</v>
      </c>
      <c r="F146" t="s">
        <v>769</v>
      </c>
      <c r="G146" t="s">
        <v>421</v>
      </c>
      <c r="I146" t="s">
        <v>471</v>
      </c>
      <c r="L146" t="s">
        <v>492</v>
      </c>
      <c r="N146" t="s">
        <v>424</v>
      </c>
      <c r="P146" t="s">
        <v>425</v>
      </c>
      <c r="Q146" t="s">
        <v>48</v>
      </c>
      <c r="R146" t="s">
        <v>818</v>
      </c>
      <c r="S146" t="s">
        <v>471</v>
      </c>
      <c r="T146" t="s">
        <v>507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428</v>
      </c>
      <c r="AG146" t="s">
        <v>429</v>
      </c>
      <c r="AH146" t="s">
        <v>429</v>
      </c>
      <c r="AI146" t="s">
        <v>429</v>
      </c>
      <c r="AJ146" t="s">
        <v>474</v>
      </c>
      <c r="AK146" t="s">
        <v>430</v>
      </c>
      <c r="AN146" t="s">
        <v>431</v>
      </c>
      <c r="AO146" t="s">
        <v>432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46070</v>
      </c>
      <c r="BE146">
        <v>46080</v>
      </c>
    </row>
    <row r="147" spans="1:57" ht="15.2" customHeight="1" x14ac:dyDescent="0.25">
      <c r="A147" t="s">
        <v>340</v>
      </c>
      <c r="B147" t="s">
        <v>819</v>
      </c>
      <c r="C147" t="s">
        <v>820</v>
      </c>
      <c r="D147" t="s">
        <v>489</v>
      </c>
      <c r="E147" t="s">
        <v>420</v>
      </c>
      <c r="F147" t="s">
        <v>622</v>
      </c>
      <c r="G147" t="s">
        <v>469</v>
      </c>
      <c r="H147" t="s">
        <v>579</v>
      </c>
      <c r="I147" t="s">
        <v>422</v>
      </c>
      <c r="L147" t="s">
        <v>492</v>
      </c>
      <c r="N147" t="s">
        <v>424</v>
      </c>
      <c r="O147" t="s">
        <v>612</v>
      </c>
      <c r="P147" t="s">
        <v>440</v>
      </c>
      <c r="Q147" t="s">
        <v>51</v>
      </c>
      <c r="R147" t="s">
        <v>821</v>
      </c>
      <c r="T147" t="s">
        <v>507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 t="s">
        <v>428</v>
      </c>
      <c r="AG147" t="s">
        <v>429</v>
      </c>
      <c r="AH147" t="s">
        <v>428</v>
      </c>
      <c r="AI147" t="s">
        <v>429</v>
      </c>
      <c r="AK147" t="s">
        <v>430</v>
      </c>
      <c r="AM147" t="s">
        <v>430</v>
      </c>
      <c r="AN147" t="s">
        <v>431</v>
      </c>
      <c r="AO147" t="s">
        <v>432</v>
      </c>
      <c r="AQ147">
        <v>0</v>
      </c>
      <c r="AR147">
        <v>0</v>
      </c>
      <c r="AS147">
        <v>61.859100000000005</v>
      </c>
      <c r="AT147">
        <v>91</v>
      </c>
      <c r="AU147">
        <v>17</v>
      </c>
      <c r="AV147">
        <v>61.859100000000005</v>
      </c>
      <c r="AW147">
        <v>91</v>
      </c>
      <c r="AX147">
        <v>17</v>
      </c>
      <c r="AY147">
        <v>0</v>
      </c>
      <c r="AZ147">
        <v>61.859100000000005</v>
      </c>
      <c r="BA147">
        <v>91</v>
      </c>
      <c r="BB147">
        <v>17</v>
      </c>
      <c r="BC147">
        <v>0</v>
      </c>
      <c r="BD147">
        <v>46071</v>
      </c>
      <c r="BE147">
        <v>46081</v>
      </c>
    </row>
    <row r="148" spans="1:57" ht="15.2" customHeight="1" x14ac:dyDescent="0.25">
      <c r="A148" t="s">
        <v>340</v>
      </c>
      <c r="B148" t="s">
        <v>819</v>
      </c>
      <c r="C148" t="s">
        <v>820</v>
      </c>
      <c r="D148" t="s">
        <v>489</v>
      </c>
      <c r="E148" t="s">
        <v>420</v>
      </c>
      <c r="F148" t="s">
        <v>622</v>
      </c>
      <c r="G148" t="s">
        <v>469</v>
      </c>
      <c r="H148" t="s">
        <v>579</v>
      </c>
      <c r="I148" t="s">
        <v>422</v>
      </c>
      <c r="L148" t="s">
        <v>492</v>
      </c>
      <c r="N148" t="s">
        <v>424</v>
      </c>
      <c r="O148" t="s">
        <v>612</v>
      </c>
      <c r="P148" t="s">
        <v>425</v>
      </c>
      <c r="Q148" t="s">
        <v>157</v>
      </c>
      <c r="R148" t="s">
        <v>822</v>
      </c>
      <c r="T148" t="s">
        <v>507</v>
      </c>
      <c r="W148">
        <v>46071.145833333336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428</v>
      </c>
      <c r="AG148" t="s">
        <v>429</v>
      </c>
      <c r="AH148" t="s">
        <v>429</v>
      </c>
      <c r="AI148" t="s">
        <v>429</v>
      </c>
      <c r="AJ148" t="s">
        <v>474</v>
      </c>
      <c r="AK148" t="s">
        <v>430</v>
      </c>
      <c r="AN148" t="s">
        <v>431</v>
      </c>
      <c r="AO148" t="s">
        <v>432</v>
      </c>
      <c r="AQ148">
        <v>0</v>
      </c>
      <c r="AR148">
        <v>0</v>
      </c>
      <c r="AS148">
        <v>61.859100000000005</v>
      </c>
      <c r="AT148">
        <v>91</v>
      </c>
      <c r="AU148">
        <v>17</v>
      </c>
      <c r="AV148">
        <v>61.859100000000005</v>
      </c>
      <c r="AW148">
        <v>91</v>
      </c>
      <c r="AX148">
        <v>17</v>
      </c>
      <c r="AY148">
        <v>0</v>
      </c>
      <c r="AZ148">
        <v>120</v>
      </c>
      <c r="BA148">
        <v>210</v>
      </c>
      <c r="BB148">
        <v>17</v>
      </c>
      <c r="BC148">
        <v>0</v>
      </c>
      <c r="BD148">
        <v>46070</v>
      </c>
      <c r="BE148">
        <v>46088</v>
      </c>
    </row>
    <row r="149" spans="1:57" ht="15.2" customHeight="1" x14ac:dyDescent="0.25">
      <c r="A149" t="s">
        <v>340</v>
      </c>
      <c r="B149" t="s">
        <v>819</v>
      </c>
      <c r="C149" t="s">
        <v>820</v>
      </c>
      <c r="D149" t="s">
        <v>489</v>
      </c>
      <c r="E149" t="s">
        <v>420</v>
      </c>
      <c r="F149" t="s">
        <v>622</v>
      </c>
      <c r="G149" t="s">
        <v>469</v>
      </c>
      <c r="H149" t="s">
        <v>579</v>
      </c>
      <c r="I149" t="s">
        <v>422</v>
      </c>
      <c r="L149" t="s">
        <v>492</v>
      </c>
      <c r="N149" t="s">
        <v>424</v>
      </c>
      <c r="O149" t="s">
        <v>493</v>
      </c>
      <c r="P149" t="s">
        <v>440</v>
      </c>
      <c r="Q149" t="s">
        <v>594</v>
      </c>
      <c r="R149" t="s">
        <v>595</v>
      </c>
      <c r="S149" t="s">
        <v>422</v>
      </c>
      <c r="T149" t="s">
        <v>507</v>
      </c>
      <c r="W149">
        <v>46070.333333333336</v>
      </c>
      <c r="X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429</v>
      </c>
      <c r="AG149" t="s">
        <v>429</v>
      </c>
      <c r="AH149" t="s">
        <v>429</v>
      </c>
      <c r="AI149" t="s">
        <v>429</v>
      </c>
      <c r="AN149" t="s">
        <v>431</v>
      </c>
      <c r="AO149" t="s">
        <v>432</v>
      </c>
      <c r="AQ149">
        <v>0</v>
      </c>
      <c r="AR149">
        <v>0</v>
      </c>
      <c r="AS149">
        <v>61.859100000000005</v>
      </c>
      <c r="AT149">
        <v>91</v>
      </c>
      <c r="AU149">
        <v>17</v>
      </c>
      <c r="AV149">
        <v>61.859100000000005</v>
      </c>
      <c r="AW149">
        <v>91</v>
      </c>
      <c r="AX149">
        <v>17</v>
      </c>
      <c r="AY149">
        <v>0</v>
      </c>
      <c r="AZ149">
        <v>61.859100000000005</v>
      </c>
      <c r="BA149">
        <v>91</v>
      </c>
      <c r="BB149">
        <v>17</v>
      </c>
      <c r="BC149">
        <v>0</v>
      </c>
      <c r="BD149">
        <v>46070</v>
      </c>
      <c r="BE149">
        <v>46071</v>
      </c>
    </row>
    <row r="150" spans="1:57" ht="15.2" customHeight="1" x14ac:dyDescent="0.25">
      <c r="A150" t="s">
        <v>90</v>
      </c>
      <c r="B150" t="s">
        <v>823</v>
      </c>
      <c r="C150" t="s">
        <v>820</v>
      </c>
      <c r="D150" t="s">
        <v>489</v>
      </c>
      <c r="E150" t="s">
        <v>420</v>
      </c>
      <c r="F150" t="s">
        <v>622</v>
      </c>
      <c r="G150" t="s">
        <v>469</v>
      </c>
      <c r="H150" t="s">
        <v>579</v>
      </c>
      <c r="I150" t="s">
        <v>422</v>
      </c>
      <c r="L150" t="s">
        <v>492</v>
      </c>
      <c r="N150" t="s">
        <v>424</v>
      </c>
      <c r="O150" t="s">
        <v>496</v>
      </c>
      <c r="P150" t="s">
        <v>425</v>
      </c>
      <c r="Q150" t="s">
        <v>182</v>
      </c>
      <c r="R150" t="s">
        <v>824</v>
      </c>
      <c r="S150" t="s">
        <v>422</v>
      </c>
      <c r="T150" t="s">
        <v>507</v>
      </c>
      <c r="W150">
        <v>0</v>
      </c>
      <c r="X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428</v>
      </c>
      <c r="AG150" t="s">
        <v>429</v>
      </c>
      <c r="AH150" t="s">
        <v>429</v>
      </c>
      <c r="AI150" t="s">
        <v>429</v>
      </c>
      <c r="AJ150" t="s">
        <v>430</v>
      </c>
      <c r="AK150" t="s">
        <v>474</v>
      </c>
      <c r="AN150" t="s">
        <v>431</v>
      </c>
      <c r="AO150" t="s">
        <v>432</v>
      </c>
      <c r="AQ150">
        <v>0</v>
      </c>
      <c r="AR150">
        <v>0</v>
      </c>
      <c r="AS150">
        <v>56.101500000000001</v>
      </c>
      <c r="AT150">
        <v>137</v>
      </c>
      <c r="AU150">
        <v>50</v>
      </c>
      <c r="AV150">
        <v>38.918900000000001</v>
      </c>
      <c r="AW150">
        <v>132</v>
      </c>
      <c r="AX150">
        <v>64</v>
      </c>
      <c r="AY150">
        <v>0</v>
      </c>
      <c r="AZ150">
        <v>56.101500000000001</v>
      </c>
      <c r="BA150">
        <v>137</v>
      </c>
      <c r="BB150">
        <v>50</v>
      </c>
      <c r="BC150">
        <v>0</v>
      </c>
      <c r="BD150">
        <v>46064</v>
      </c>
      <c r="BE150">
        <v>46081</v>
      </c>
    </row>
    <row r="151" spans="1:57" ht="15.2" customHeight="1" x14ac:dyDescent="0.25">
      <c r="A151" t="s">
        <v>123</v>
      </c>
      <c r="B151" t="s">
        <v>825</v>
      </c>
      <c r="C151" t="s">
        <v>826</v>
      </c>
      <c r="D151" t="s">
        <v>482</v>
      </c>
      <c r="E151" t="s">
        <v>420</v>
      </c>
      <c r="F151" t="s">
        <v>769</v>
      </c>
      <c r="G151" t="s">
        <v>421</v>
      </c>
      <c r="H151" t="s">
        <v>618</v>
      </c>
      <c r="I151" t="s">
        <v>541</v>
      </c>
      <c r="L151" t="s">
        <v>492</v>
      </c>
      <c r="N151" t="s">
        <v>424</v>
      </c>
      <c r="P151" t="s">
        <v>425</v>
      </c>
      <c r="Q151" t="s">
        <v>793</v>
      </c>
      <c r="R151" t="s">
        <v>827</v>
      </c>
      <c r="T151" t="s">
        <v>507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428</v>
      </c>
      <c r="AG151" t="s">
        <v>429</v>
      </c>
      <c r="AH151" t="s">
        <v>429</v>
      </c>
      <c r="AI151" t="s">
        <v>429</v>
      </c>
      <c r="AJ151" t="s">
        <v>474</v>
      </c>
      <c r="AK151" t="s">
        <v>474</v>
      </c>
      <c r="AN151" t="s">
        <v>431</v>
      </c>
      <c r="AO151" t="s">
        <v>432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215.8</v>
      </c>
      <c r="BA151">
        <v>325</v>
      </c>
      <c r="BB151">
        <v>20</v>
      </c>
      <c r="BC151">
        <v>0</v>
      </c>
      <c r="BD151">
        <v>46063</v>
      </c>
      <c r="BE151">
        <v>46074</v>
      </c>
    </row>
    <row r="152" spans="1:57" ht="15.2" customHeight="1" x14ac:dyDescent="0.25">
      <c r="A152" t="s">
        <v>828</v>
      </c>
      <c r="B152" t="s">
        <v>829</v>
      </c>
      <c r="D152" t="s">
        <v>768</v>
      </c>
      <c r="E152" t="s">
        <v>420</v>
      </c>
      <c r="G152" t="s">
        <v>421</v>
      </c>
      <c r="I152" t="s">
        <v>422</v>
      </c>
      <c r="L152" t="s">
        <v>423</v>
      </c>
      <c r="N152" t="s">
        <v>424</v>
      </c>
      <c r="O152" t="s">
        <v>629</v>
      </c>
      <c r="P152" t="s">
        <v>425</v>
      </c>
      <c r="Q152" t="s">
        <v>180</v>
      </c>
      <c r="R152" t="s">
        <v>830</v>
      </c>
      <c r="S152" t="s">
        <v>422</v>
      </c>
      <c r="T152" t="s">
        <v>427</v>
      </c>
      <c r="W152">
        <v>46069.583333333336</v>
      </c>
      <c r="X152">
        <v>0</v>
      </c>
      <c r="Y152">
        <v>0</v>
      </c>
      <c r="Z152">
        <v>0</v>
      </c>
      <c r="AA152">
        <v>0</v>
      </c>
      <c r="AB152">
        <v>50.15</v>
      </c>
      <c r="AC152">
        <v>0</v>
      </c>
      <c r="AD152">
        <v>0</v>
      </c>
      <c r="AE152">
        <v>0</v>
      </c>
      <c r="AF152" t="s">
        <v>428</v>
      </c>
      <c r="AG152" t="s">
        <v>429</v>
      </c>
      <c r="AH152" t="s">
        <v>429</v>
      </c>
      <c r="AI152" t="s">
        <v>428</v>
      </c>
      <c r="AJ152" t="s">
        <v>474</v>
      </c>
      <c r="AK152" t="s">
        <v>474</v>
      </c>
      <c r="AN152" t="s">
        <v>430</v>
      </c>
      <c r="AO152" t="s">
        <v>446</v>
      </c>
      <c r="AQ152">
        <v>961367.6</v>
      </c>
      <c r="AR152">
        <v>961367.6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46061</v>
      </c>
      <c r="BE152">
        <v>46073</v>
      </c>
    </row>
    <row r="153" spans="1:57" ht="15.2" customHeight="1" x14ac:dyDescent="0.25">
      <c r="A153" t="s">
        <v>329</v>
      </c>
      <c r="B153" t="s">
        <v>831</v>
      </c>
      <c r="C153" t="s">
        <v>826</v>
      </c>
      <c r="D153" t="s">
        <v>482</v>
      </c>
      <c r="E153" t="s">
        <v>420</v>
      </c>
      <c r="F153" t="s">
        <v>769</v>
      </c>
      <c r="G153" t="s">
        <v>421</v>
      </c>
      <c r="H153" t="s">
        <v>579</v>
      </c>
      <c r="I153" t="s">
        <v>422</v>
      </c>
      <c r="L153" t="s">
        <v>492</v>
      </c>
      <c r="N153" t="s">
        <v>424</v>
      </c>
      <c r="O153" t="s">
        <v>629</v>
      </c>
      <c r="P153" t="s">
        <v>440</v>
      </c>
      <c r="Q153" t="s">
        <v>53</v>
      </c>
      <c r="R153" t="s">
        <v>832</v>
      </c>
      <c r="S153" t="s">
        <v>422</v>
      </c>
      <c r="T153" t="s">
        <v>427</v>
      </c>
      <c r="W153">
        <v>46070.041666666664</v>
      </c>
      <c r="X153">
        <v>46070.208333333336</v>
      </c>
      <c r="Y153">
        <v>46064</v>
      </c>
      <c r="Z153">
        <v>4</v>
      </c>
      <c r="AA153">
        <v>3.67</v>
      </c>
      <c r="AB153">
        <v>2.34</v>
      </c>
      <c r="AC153">
        <v>0</v>
      </c>
      <c r="AD153">
        <v>0</v>
      </c>
      <c r="AE153">
        <v>3.67</v>
      </c>
      <c r="AF153" t="s">
        <v>428</v>
      </c>
      <c r="AG153" t="s">
        <v>429</v>
      </c>
      <c r="AH153" t="s">
        <v>429</v>
      </c>
      <c r="AI153" t="s">
        <v>428</v>
      </c>
      <c r="AK153" t="s">
        <v>485</v>
      </c>
      <c r="AN153" t="s">
        <v>430</v>
      </c>
      <c r="AO153" t="s">
        <v>446</v>
      </c>
      <c r="AQ153">
        <v>46132.270000000004</v>
      </c>
      <c r="AR153">
        <v>46132.270000000004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46069</v>
      </c>
      <c r="BE153">
        <v>46070</v>
      </c>
    </row>
    <row r="154" spans="1:57" ht="15.2" customHeight="1" x14ac:dyDescent="0.25">
      <c r="A154" t="s">
        <v>299</v>
      </c>
      <c r="B154" t="s">
        <v>833</v>
      </c>
      <c r="C154" t="s">
        <v>834</v>
      </c>
      <c r="D154" t="s">
        <v>518</v>
      </c>
      <c r="E154" t="s">
        <v>420</v>
      </c>
      <c r="F154" t="s">
        <v>519</v>
      </c>
      <c r="G154" t="s">
        <v>421</v>
      </c>
      <c r="H154" t="s">
        <v>544</v>
      </c>
      <c r="I154" t="s">
        <v>422</v>
      </c>
      <c r="L154" t="s">
        <v>492</v>
      </c>
      <c r="N154" t="s">
        <v>520</v>
      </c>
      <c r="P154" t="s">
        <v>425</v>
      </c>
      <c r="Q154" t="s">
        <v>96</v>
      </c>
      <c r="R154" t="s">
        <v>835</v>
      </c>
      <c r="T154" t="s">
        <v>507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428</v>
      </c>
      <c r="AG154" t="s">
        <v>429</v>
      </c>
      <c r="AH154" t="s">
        <v>429</v>
      </c>
      <c r="AI154" t="s">
        <v>429</v>
      </c>
      <c r="AJ154" t="s">
        <v>430</v>
      </c>
      <c r="AK154" t="s">
        <v>430</v>
      </c>
      <c r="AN154" t="s">
        <v>431</v>
      </c>
      <c r="AO154" t="s">
        <v>432</v>
      </c>
      <c r="AQ154">
        <v>0</v>
      </c>
      <c r="AR154">
        <v>0</v>
      </c>
      <c r="AS154">
        <v>23.0794</v>
      </c>
      <c r="AT154">
        <v>58</v>
      </c>
      <c r="AU154">
        <v>52</v>
      </c>
      <c r="AV154">
        <v>23.0794</v>
      </c>
      <c r="AW154">
        <v>58</v>
      </c>
      <c r="AX154">
        <v>52</v>
      </c>
      <c r="AY154">
        <v>0</v>
      </c>
      <c r="AZ154">
        <v>23.0794</v>
      </c>
      <c r="BA154">
        <v>58</v>
      </c>
      <c r="BB154">
        <v>52</v>
      </c>
      <c r="BC154">
        <v>0</v>
      </c>
      <c r="BD154">
        <v>46060</v>
      </c>
      <c r="BE154">
        <v>46807</v>
      </c>
    </row>
    <row r="155" spans="1:57" ht="15.2" customHeight="1" x14ac:dyDescent="0.25">
      <c r="A155" t="s">
        <v>299</v>
      </c>
      <c r="B155" t="s">
        <v>833</v>
      </c>
      <c r="C155" t="s">
        <v>834</v>
      </c>
      <c r="D155" t="s">
        <v>518</v>
      </c>
      <c r="E155" t="s">
        <v>420</v>
      </c>
      <c r="F155" t="s">
        <v>519</v>
      </c>
      <c r="G155" t="s">
        <v>421</v>
      </c>
      <c r="H155" t="s">
        <v>544</v>
      </c>
      <c r="I155" t="s">
        <v>422</v>
      </c>
      <c r="L155" t="s">
        <v>492</v>
      </c>
      <c r="N155" t="s">
        <v>520</v>
      </c>
      <c r="O155" t="s">
        <v>39</v>
      </c>
      <c r="P155" t="s">
        <v>425</v>
      </c>
      <c r="Q155" t="s">
        <v>157</v>
      </c>
      <c r="R155" t="s">
        <v>836</v>
      </c>
      <c r="S155" t="s">
        <v>422</v>
      </c>
      <c r="T155" t="s">
        <v>507</v>
      </c>
      <c r="W155">
        <v>46060.375</v>
      </c>
      <c r="X155">
        <v>0</v>
      </c>
      <c r="Z155">
        <v>0</v>
      </c>
      <c r="AA155">
        <v>0</v>
      </c>
      <c r="AB155">
        <v>180.53</v>
      </c>
      <c r="AC155">
        <v>0</v>
      </c>
      <c r="AD155">
        <v>0</v>
      </c>
      <c r="AE155">
        <v>0</v>
      </c>
      <c r="AF155" t="s">
        <v>428</v>
      </c>
      <c r="AG155" t="s">
        <v>429</v>
      </c>
      <c r="AH155" t="s">
        <v>428</v>
      </c>
      <c r="AI155" t="s">
        <v>428</v>
      </c>
      <c r="AJ155" t="s">
        <v>430</v>
      </c>
      <c r="AK155" t="s">
        <v>430</v>
      </c>
      <c r="AM155" t="s">
        <v>485</v>
      </c>
      <c r="AN155" t="s">
        <v>430</v>
      </c>
      <c r="AO155" t="s">
        <v>446</v>
      </c>
      <c r="AQ155">
        <v>5189322.51</v>
      </c>
      <c r="AR155">
        <v>5189322.51</v>
      </c>
      <c r="AS155">
        <v>23.0794</v>
      </c>
      <c r="AT155">
        <v>58</v>
      </c>
      <c r="AU155">
        <v>52</v>
      </c>
      <c r="AV155">
        <v>23.0794</v>
      </c>
      <c r="AW155">
        <v>58</v>
      </c>
      <c r="AX155">
        <v>52</v>
      </c>
      <c r="AY155">
        <v>0</v>
      </c>
      <c r="AZ155">
        <v>23.0794</v>
      </c>
      <c r="BA155">
        <v>58</v>
      </c>
      <c r="BB155">
        <v>52</v>
      </c>
      <c r="BC155">
        <v>0</v>
      </c>
      <c r="BD155">
        <v>46059</v>
      </c>
      <c r="BE155">
        <v>46068</v>
      </c>
    </row>
    <row r="156" spans="1:57" ht="15.2" customHeight="1" x14ac:dyDescent="0.25">
      <c r="A156" t="s">
        <v>299</v>
      </c>
      <c r="B156" t="s">
        <v>833</v>
      </c>
      <c r="C156" t="s">
        <v>834</v>
      </c>
      <c r="D156" t="s">
        <v>518</v>
      </c>
      <c r="E156" t="s">
        <v>420</v>
      </c>
      <c r="F156" t="s">
        <v>519</v>
      </c>
      <c r="G156" t="s">
        <v>421</v>
      </c>
      <c r="H156" t="s">
        <v>544</v>
      </c>
      <c r="I156" t="s">
        <v>422</v>
      </c>
      <c r="L156" t="s">
        <v>492</v>
      </c>
      <c r="N156" t="s">
        <v>424</v>
      </c>
      <c r="O156" t="s">
        <v>536</v>
      </c>
      <c r="P156" t="s">
        <v>425</v>
      </c>
      <c r="Q156" t="s">
        <v>109</v>
      </c>
      <c r="R156" t="s">
        <v>837</v>
      </c>
      <c r="S156" t="s">
        <v>422</v>
      </c>
      <c r="T156" t="s">
        <v>507</v>
      </c>
      <c r="W156">
        <v>45039.458333333336</v>
      </c>
      <c r="X156">
        <v>45042.25</v>
      </c>
      <c r="Y156">
        <v>43696</v>
      </c>
      <c r="Z156">
        <v>67</v>
      </c>
      <c r="AA156">
        <v>62.53</v>
      </c>
      <c r="AB156">
        <v>62.53</v>
      </c>
      <c r="AC156">
        <v>0</v>
      </c>
      <c r="AD156">
        <v>0</v>
      </c>
      <c r="AE156">
        <v>62.53</v>
      </c>
      <c r="AF156" t="s">
        <v>428</v>
      </c>
      <c r="AG156" t="s">
        <v>429</v>
      </c>
      <c r="AH156" t="s">
        <v>429</v>
      </c>
      <c r="AI156" t="s">
        <v>428</v>
      </c>
      <c r="AJ156" t="s">
        <v>474</v>
      </c>
      <c r="AK156" t="s">
        <v>474</v>
      </c>
      <c r="AN156" t="s">
        <v>445</v>
      </c>
      <c r="AO156" t="s">
        <v>838</v>
      </c>
      <c r="AQ156">
        <v>664399.09</v>
      </c>
      <c r="AR156">
        <v>664399.09</v>
      </c>
      <c r="AS156">
        <v>14.286000000000001</v>
      </c>
      <c r="AT156">
        <v>49</v>
      </c>
      <c r="AU156">
        <v>65</v>
      </c>
      <c r="AV156">
        <v>14.286000000000001</v>
      </c>
      <c r="AW156">
        <v>49</v>
      </c>
      <c r="AX156">
        <v>65</v>
      </c>
      <c r="AY156">
        <v>0</v>
      </c>
      <c r="AZ156">
        <v>14.286000000000001</v>
      </c>
      <c r="BA156">
        <v>49</v>
      </c>
      <c r="BB156">
        <v>65</v>
      </c>
      <c r="BC156">
        <v>0</v>
      </c>
      <c r="BD156">
        <v>45039</v>
      </c>
      <c r="BE156">
        <v>48328</v>
      </c>
    </row>
    <row r="157" spans="1:57" ht="15.2" customHeight="1" x14ac:dyDescent="0.25">
      <c r="A157" t="s">
        <v>839</v>
      </c>
      <c r="B157" t="s">
        <v>840</v>
      </c>
      <c r="C157" t="s">
        <v>521</v>
      </c>
      <c r="D157" t="s">
        <v>419</v>
      </c>
      <c r="E157" t="s">
        <v>420</v>
      </c>
      <c r="F157" t="s">
        <v>589</v>
      </c>
      <c r="G157" t="s">
        <v>421</v>
      </c>
      <c r="H157" t="s">
        <v>598</v>
      </c>
      <c r="I157" t="s">
        <v>422</v>
      </c>
      <c r="L157" t="s">
        <v>492</v>
      </c>
      <c r="N157" t="s">
        <v>424</v>
      </c>
      <c r="O157" t="s">
        <v>692</v>
      </c>
      <c r="P157" t="s">
        <v>425</v>
      </c>
      <c r="Q157" t="s">
        <v>50</v>
      </c>
      <c r="R157" t="s">
        <v>551</v>
      </c>
      <c r="S157" t="s">
        <v>422</v>
      </c>
      <c r="T157" t="s">
        <v>427</v>
      </c>
      <c r="W157">
        <v>46061.833333333336</v>
      </c>
      <c r="X157">
        <v>46062.5625</v>
      </c>
      <c r="Y157">
        <v>0</v>
      </c>
      <c r="Z157">
        <v>17.5</v>
      </c>
      <c r="AA157">
        <v>16.04</v>
      </c>
      <c r="AB157">
        <v>16.48</v>
      </c>
      <c r="AC157">
        <v>0</v>
      </c>
      <c r="AD157">
        <v>0</v>
      </c>
      <c r="AE157">
        <v>16.04</v>
      </c>
      <c r="AF157" t="s">
        <v>428</v>
      </c>
      <c r="AG157" t="s">
        <v>429</v>
      </c>
      <c r="AH157" t="s">
        <v>429</v>
      </c>
      <c r="AI157" t="s">
        <v>428</v>
      </c>
      <c r="AJ157" t="s">
        <v>474</v>
      </c>
      <c r="AK157" t="s">
        <v>474</v>
      </c>
      <c r="AN157" t="s">
        <v>430</v>
      </c>
      <c r="AO157" t="s">
        <v>446</v>
      </c>
      <c r="AQ157">
        <v>46171.57</v>
      </c>
      <c r="AR157">
        <v>46171.57</v>
      </c>
      <c r="AS157">
        <v>0</v>
      </c>
      <c r="AT157">
        <v>154</v>
      </c>
      <c r="AU157">
        <v>0</v>
      </c>
      <c r="AV157">
        <v>0</v>
      </c>
      <c r="AW157">
        <v>154</v>
      </c>
      <c r="AX157">
        <v>0</v>
      </c>
      <c r="AY157">
        <v>0</v>
      </c>
      <c r="AZ157">
        <v>0</v>
      </c>
      <c r="BA157">
        <v>154</v>
      </c>
      <c r="BB157">
        <v>0</v>
      </c>
      <c r="BC157">
        <v>0</v>
      </c>
      <c r="BD157">
        <v>46066</v>
      </c>
      <c r="BE157">
        <v>46070</v>
      </c>
    </row>
    <row r="158" spans="1:57" ht="15.2" customHeight="1" x14ac:dyDescent="0.25">
      <c r="B158" t="s">
        <v>841</v>
      </c>
      <c r="C158" t="s">
        <v>842</v>
      </c>
      <c r="D158" t="s">
        <v>489</v>
      </c>
      <c r="E158" t="s">
        <v>420</v>
      </c>
      <c r="G158" t="s">
        <v>421</v>
      </c>
      <c r="N158" t="s">
        <v>424</v>
      </c>
      <c r="O158" t="s">
        <v>608</v>
      </c>
      <c r="P158" t="s">
        <v>440</v>
      </c>
      <c r="Q158" t="s">
        <v>456</v>
      </c>
      <c r="R158" t="s">
        <v>843</v>
      </c>
      <c r="W158">
        <v>46057.458333333336</v>
      </c>
      <c r="X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 t="s">
        <v>429</v>
      </c>
      <c r="AG158" t="s">
        <v>429</v>
      </c>
      <c r="AH158" t="s">
        <v>429</v>
      </c>
      <c r="AI158" t="s">
        <v>429</v>
      </c>
      <c r="AN158" t="s">
        <v>431</v>
      </c>
      <c r="AO158" t="s">
        <v>432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46057</v>
      </c>
      <c r="BE158">
        <v>46059</v>
      </c>
    </row>
    <row r="159" spans="1:57" ht="15.2" customHeight="1" x14ac:dyDescent="0.25">
      <c r="B159" t="s">
        <v>841</v>
      </c>
      <c r="C159" t="s">
        <v>842</v>
      </c>
      <c r="D159" t="s">
        <v>489</v>
      </c>
      <c r="E159" t="s">
        <v>420</v>
      </c>
      <c r="G159" t="s">
        <v>421</v>
      </c>
      <c r="N159" t="s">
        <v>424</v>
      </c>
      <c r="O159" t="s">
        <v>608</v>
      </c>
      <c r="P159" t="s">
        <v>440</v>
      </c>
      <c r="Q159" t="s">
        <v>456</v>
      </c>
      <c r="R159" t="s">
        <v>843</v>
      </c>
      <c r="W159">
        <v>46056.791666666664</v>
      </c>
      <c r="X159">
        <v>46056.9375</v>
      </c>
      <c r="Z159">
        <v>3.5</v>
      </c>
      <c r="AA159">
        <v>3.21</v>
      </c>
      <c r="AB159">
        <v>0</v>
      </c>
      <c r="AC159">
        <v>0</v>
      </c>
      <c r="AD159">
        <v>0</v>
      </c>
      <c r="AE159">
        <v>3.21</v>
      </c>
      <c r="AF159" t="s">
        <v>429</v>
      </c>
      <c r="AG159" t="s">
        <v>429</v>
      </c>
      <c r="AH159" t="s">
        <v>429</v>
      </c>
      <c r="AI159" t="s">
        <v>429</v>
      </c>
      <c r="AN159" t="s">
        <v>431</v>
      </c>
      <c r="AO159" t="s">
        <v>432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46056</v>
      </c>
      <c r="BE159">
        <v>46058</v>
      </c>
    </row>
    <row r="160" spans="1:57" ht="15.2" customHeight="1" x14ac:dyDescent="0.25">
      <c r="B160" t="s">
        <v>841</v>
      </c>
      <c r="C160" t="s">
        <v>842</v>
      </c>
      <c r="D160" t="s">
        <v>489</v>
      </c>
      <c r="E160" t="s">
        <v>420</v>
      </c>
      <c r="G160" t="s">
        <v>421</v>
      </c>
      <c r="N160" t="s">
        <v>424</v>
      </c>
      <c r="O160" t="s">
        <v>608</v>
      </c>
      <c r="P160" t="s">
        <v>440</v>
      </c>
      <c r="Q160" t="s">
        <v>49</v>
      </c>
      <c r="R160" t="s">
        <v>844</v>
      </c>
      <c r="W160">
        <v>46061.916666666664</v>
      </c>
      <c r="X160">
        <v>46064.604166666664</v>
      </c>
      <c r="Y160">
        <v>0</v>
      </c>
      <c r="Z160">
        <v>64.5</v>
      </c>
      <c r="AA160">
        <v>59.13</v>
      </c>
      <c r="AB160">
        <v>0</v>
      </c>
      <c r="AC160">
        <v>0</v>
      </c>
      <c r="AD160">
        <v>3</v>
      </c>
      <c r="AE160">
        <v>56.13</v>
      </c>
      <c r="AF160" t="s">
        <v>428</v>
      </c>
      <c r="AG160" t="s">
        <v>429</v>
      </c>
      <c r="AH160" t="s">
        <v>429</v>
      </c>
      <c r="AI160" t="s">
        <v>429</v>
      </c>
      <c r="AK160" t="s">
        <v>474</v>
      </c>
      <c r="AN160" t="s">
        <v>431</v>
      </c>
      <c r="AO160" t="s">
        <v>432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46061</v>
      </c>
      <c r="BE160">
        <v>46062</v>
      </c>
    </row>
    <row r="161" spans="1:57" ht="15.2" customHeight="1" x14ac:dyDescent="0.25">
      <c r="A161" t="s">
        <v>845</v>
      </c>
      <c r="B161" t="s">
        <v>846</v>
      </c>
      <c r="C161" t="s">
        <v>842</v>
      </c>
      <c r="D161" t="s">
        <v>489</v>
      </c>
      <c r="E161" t="s">
        <v>420</v>
      </c>
      <c r="F161" t="s">
        <v>490</v>
      </c>
      <c r="G161" t="s">
        <v>469</v>
      </c>
      <c r="H161" t="s">
        <v>598</v>
      </c>
      <c r="I161" t="s">
        <v>422</v>
      </c>
      <c r="L161" t="s">
        <v>492</v>
      </c>
      <c r="N161" t="s">
        <v>424</v>
      </c>
      <c r="O161" t="s">
        <v>847</v>
      </c>
      <c r="P161" t="s">
        <v>440</v>
      </c>
      <c r="Q161" t="s">
        <v>53</v>
      </c>
      <c r="R161" t="s">
        <v>522</v>
      </c>
      <c r="S161" t="s">
        <v>422</v>
      </c>
      <c r="T161" t="s">
        <v>427</v>
      </c>
      <c r="W161">
        <v>46064.979166666664</v>
      </c>
      <c r="X161">
        <v>46068.5</v>
      </c>
      <c r="Y161">
        <v>0</v>
      </c>
      <c r="Z161">
        <v>84.5</v>
      </c>
      <c r="AA161">
        <v>77.460000000000008</v>
      </c>
      <c r="AB161">
        <v>93.08</v>
      </c>
      <c r="AC161">
        <v>0</v>
      </c>
      <c r="AD161">
        <v>5</v>
      </c>
      <c r="AE161">
        <v>72.460000000000008</v>
      </c>
      <c r="AF161" t="s">
        <v>428</v>
      </c>
      <c r="AG161" t="s">
        <v>429</v>
      </c>
      <c r="AH161" t="s">
        <v>428</v>
      </c>
      <c r="AI161" t="s">
        <v>428</v>
      </c>
      <c r="AK161" t="s">
        <v>474</v>
      </c>
      <c r="AM161" t="s">
        <v>485</v>
      </c>
      <c r="AN161" t="s">
        <v>430</v>
      </c>
      <c r="AO161" t="s">
        <v>446</v>
      </c>
      <c r="AQ161">
        <v>1801515.75</v>
      </c>
      <c r="AR161">
        <v>1801515.75</v>
      </c>
      <c r="AS161">
        <v>0</v>
      </c>
      <c r="AT161">
        <v>660</v>
      </c>
      <c r="AU161">
        <v>0</v>
      </c>
      <c r="AV161">
        <v>0</v>
      </c>
      <c r="AW161">
        <v>660</v>
      </c>
      <c r="AX161">
        <v>0</v>
      </c>
      <c r="AY161">
        <v>0</v>
      </c>
      <c r="AZ161">
        <v>0</v>
      </c>
      <c r="BA161">
        <v>500</v>
      </c>
      <c r="BB161">
        <v>0</v>
      </c>
      <c r="BC161">
        <v>0</v>
      </c>
      <c r="BD161">
        <v>46051</v>
      </c>
      <c r="BE161">
        <v>46057</v>
      </c>
    </row>
    <row r="162" spans="1:57" ht="15.2" customHeight="1" x14ac:dyDescent="0.25">
      <c r="A162" t="s">
        <v>245</v>
      </c>
      <c r="B162" t="s">
        <v>848</v>
      </c>
      <c r="C162" t="s">
        <v>842</v>
      </c>
      <c r="D162" t="s">
        <v>489</v>
      </c>
      <c r="E162" t="s">
        <v>420</v>
      </c>
      <c r="F162" t="s">
        <v>490</v>
      </c>
      <c r="G162" t="s">
        <v>469</v>
      </c>
      <c r="H162" t="s">
        <v>579</v>
      </c>
      <c r="I162" t="s">
        <v>422</v>
      </c>
      <c r="L162" t="s">
        <v>492</v>
      </c>
      <c r="N162" t="s">
        <v>424</v>
      </c>
      <c r="O162" t="s">
        <v>531</v>
      </c>
      <c r="P162" t="s">
        <v>440</v>
      </c>
      <c r="Q162" t="s">
        <v>51</v>
      </c>
      <c r="R162" t="s">
        <v>849</v>
      </c>
      <c r="S162" t="s">
        <v>422</v>
      </c>
      <c r="T162" t="s">
        <v>507</v>
      </c>
      <c r="W162">
        <v>46070.5</v>
      </c>
      <c r="X162">
        <v>0</v>
      </c>
      <c r="Y162">
        <v>45958</v>
      </c>
      <c r="Z162">
        <v>0</v>
      </c>
      <c r="AA162">
        <v>0</v>
      </c>
      <c r="AB162">
        <v>9.2799999999999994</v>
      </c>
      <c r="AC162">
        <v>0</v>
      </c>
      <c r="AD162">
        <v>0</v>
      </c>
      <c r="AE162">
        <v>0</v>
      </c>
      <c r="AF162" t="s">
        <v>428</v>
      </c>
      <c r="AG162" t="s">
        <v>429</v>
      </c>
      <c r="AH162" t="s">
        <v>428</v>
      </c>
      <c r="AI162" t="s">
        <v>428</v>
      </c>
      <c r="AK162" t="s">
        <v>474</v>
      </c>
      <c r="AM162" t="s">
        <v>430</v>
      </c>
      <c r="AN162" t="s">
        <v>430</v>
      </c>
      <c r="AO162" t="s">
        <v>446</v>
      </c>
      <c r="AQ162">
        <v>168029.62</v>
      </c>
      <c r="AR162">
        <v>168029.62</v>
      </c>
      <c r="AS162">
        <v>56.404500000000006</v>
      </c>
      <c r="AT162">
        <v>97</v>
      </c>
      <c r="AU162">
        <v>29</v>
      </c>
      <c r="AV162">
        <v>56.404500000000006</v>
      </c>
      <c r="AW162">
        <v>97</v>
      </c>
      <c r="AX162">
        <v>29</v>
      </c>
      <c r="AY162">
        <v>0</v>
      </c>
      <c r="AZ162">
        <v>56.404500000000006</v>
      </c>
      <c r="BA162">
        <v>97</v>
      </c>
      <c r="BB162">
        <v>29</v>
      </c>
      <c r="BC162">
        <v>0</v>
      </c>
      <c r="BD162">
        <v>46066</v>
      </c>
      <c r="BE162">
        <v>46076</v>
      </c>
    </row>
    <row r="163" spans="1:57" ht="15.2" customHeight="1" x14ac:dyDescent="0.25">
      <c r="A163" t="s">
        <v>245</v>
      </c>
      <c r="B163" t="s">
        <v>848</v>
      </c>
      <c r="C163" t="s">
        <v>842</v>
      </c>
      <c r="D163" t="s">
        <v>489</v>
      </c>
      <c r="E163" t="s">
        <v>420</v>
      </c>
      <c r="F163" t="s">
        <v>490</v>
      </c>
      <c r="G163" t="s">
        <v>469</v>
      </c>
      <c r="H163" t="s">
        <v>579</v>
      </c>
      <c r="I163" t="s">
        <v>422</v>
      </c>
      <c r="L163" t="s">
        <v>492</v>
      </c>
      <c r="N163" t="s">
        <v>424</v>
      </c>
      <c r="O163" t="s">
        <v>608</v>
      </c>
      <c r="P163" t="s">
        <v>440</v>
      </c>
      <c r="Q163" t="s">
        <v>594</v>
      </c>
      <c r="R163" t="s">
        <v>595</v>
      </c>
      <c r="S163" t="s">
        <v>422</v>
      </c>
      <c r="T163" t="s">
        <v>507</v>
      </c>
      <c r="W163">
        <v>46070.75</v>
      </c>
      <c r="X163">
        <v>0</v>
      </c>
      <c r="Y163">
        <v>45882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429</v>
      </c>
      <c r="AG163" t="s">
        <v>429</v>
      </c>
      <c r="AH163" t="s">
        <v>429</v>
      </c>
      <c r="AI163" t="s">
        <v>429</v>
      </c>
      <c r="AN163" t="s">
        <v>431</v>
      </c>
      <c r="AO163" t="s">
        <v>432</v>
      </c>
      <c r="AQ163">
        <v>0</v>
      </c>
      <c r="AR163">
        <v>0</v>
      </c>
      <c r="AS163">
        <v>56.404500000000006</v>
      </c>
      <c r="AT163">
        <v>97</v>
      </c>
      <c r="AU163">
        <v>29</v>
      </c>
      <c r="AV163">
        <v>56.404500000000006</v>
      </c>
      <c r="AW163">
        <v>97</v>
      </c>
      <c r="AX163">
        <v>29</v>
      </c>
      <c r="AY163">
        <v>0</v>
      </c>
      <c r="AZ163">
        <v>56.404500000000006</v>
      </c>
      <c r="BA163">
        <v>97</v>
      </c>
      <c r="BB163">
        <v>29</v>
      </c>
      <c r="BC163">
        <v>0</v>
      </c>
      <c r="BD163">
        <v>46067</v>
      </c>
      <c r="BE163">
        <v>46068</v>
      </c>
    </row>
    <row r="164" spans="1:57" ht="15.2" customHeight="1" x14ac:dyDescent="0.25">
      <c r="A164" t="s">
        <v>245</v>
      </c>
      <c r="B164" t="s">
        <v>848</v>
      </c>
      <c r="C164" t="s">
        <v>842</v>
      </c>
      <c r="D164" t="s">
        <v>489</v>
      </c>
      <c r="E164" t="s">
        <v>420</v>
      </c>
      <c r="F164" t="s">
        <v>490</v>
      </c>
      <c r="G164" t="s">
        <v>469</v>
      </c>
      <c r="H164" t="s">
        <v>579</v>
      </c>
      <c r="I164" t="s">
        <v>541</v>
      </c>
      <c r="L164" t="s">
        <v>492</v>
      </c>
      <c r="N164" t="s">
        <v>424</v>
      </c>
      <c r="O164" t="s">
        <v>608</v>
      </c>
      <c r="P164" t="s">
        <v>440</v>
      </c>
      <c r="Q164" t="s">
        <v>594</v>
      </c>
      <c r="R164" t="s">
        <v>595</v>
      </c>
      <c r="S164" t="s">
        <v>541</v>
      </c>
      <c r="T164" t="s">
        <v>507</v>
      </c>
      <c r="W164">
        <v>0</v>
      </c>
      <c r="X164">
        <v>0</v>
      </c>
      <c r="Y164">
        <v>45882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429</v>
      </c>
      <c r="AG164" t="s">
        <v>429</v>
      </c>
      <c r="AH164" t="s">
        <v>429</v>
      </c>
      <c r="AI164" t="s">
        <v>429</v>
      </c>
      <c r="AN164" t="s">
        <v>431</v>
      </c>
      <c r="AO164" t="s">
        <v>432</v>
      </c>
      <c r="AQ164">
        <v>0</v>
      </c>
      <c r="AR164">
        <v>0</v>
      </c>
      <c r="AS164">
        <v>149.38560000000001</v>
      </c>
      <c r="AT164">
        <v>285</v>
      </c>
      <c r="AU164">
        <v>36</v>
      </c>
      <c r="AV164">
        <v>56.404500000000006</v>
      </c>
      <c r="AW164">
        <v>97</v>
      </c>
      <c r="AX164">
        <v>29</v>
      </c>
      <c r="AY164">
        <v>0</v>
      </c>
      <c r="AZ164">
        <v>149.38560000000001</v>
      </c>
      <c r="BA164">
        <v>285</v>
      </c>
      <c r="BB164">
        <v>36</v>
      </c>
      <c r="BC164">
        <v>0</v>
      </c>
      <c r="BD164">
        <v>46070</v>
      </c>
      <c r="BE164">
        <v>46071</v>
      </c>
    </row>
    <row r="165" spans="1:57" ht="15.2" customHeight="1" x14ac:dyDescent="0.25">
      <c r="A165" t="s">
        <v>850</v>
      </c>
      <c r="B165" t="s">
        <v>851</v>
      </c>
      <c r="C165" t="s">
        <v>842</v>
      </c>
      <c r="D165" t="s">
        <v>489</v>
      </c>
      <c r="E165" t="s">
        <v>420</v>
      </c>
      <c r="F165" t="s">
        <v>622</v>
      </c>
      <c r="G165" t="s">
        <v>469</v>
      </c>
      <c r="H165" t="s">
        <v>579</v>
      </c>
      <c r="I165" t="s">
        <v>422</v>
      </c>
      <c r="L165" t="s">
        <v>492</v>
      </c>
      <c r="N165" t="s">
        <v>424</v>
      </c>
      <c r="O165" t="s">
        <v>847</v>
      </c>
      <c r="P165" t="s">
        <v>425</v>
      </c>
      <c r="Q165" t="s">
        <v>157</v>
      </c>
      <c r="R165" t="s">
        <v>658</v>
      </c>
      <c r="S165" t="s">
        <v>422</v>
      </c>
      <c r="T165" t="s">
        <v>507</v>
      </c>
      <c r="W165">
        <v>46029</v>
      </c>
      <c r="X165">
        <v>46064.979166666664</v>
      </c>
      <c r="Y165">
        <v>46036</v>
      </c>
      <c r="Z165">
        <v>852.5</v>
      </c>
      <c r="AA165">
        <v>781.46</v>
      </c>
      <c r="AB165">
        <v>774.99</v>
      </c>
      <c r="AC165">
        <v>461.67</v>
      </c>
      <c r="AD165">
        <v>506.5</v>
      </c>
      <c r="AE165">
        <v>274.95999999999998</v>
      </c>
      <c r="AF165" t="s">
        <v>428</v>
      </c>
      <c r="AG165" t="s">
        <v>429</v>
      </c>
      <c r="AH165" t="s">
        <v>428</v>
      </c>
      <c r="AI165" t="s">
        <v>428</v>
      </c>
      <c r="AJ165" t="s">
        <v>474</v>
      </c>
      <c r="AK165" t="s">
        <v>474</v>
      </c>
      <c r="AM165" t="s">
        <v>430</v>
      </c>
      <c r="AN165" t="s">
        <v>498</v>
      </c>
      <c r="AO165" t="s">
        <v>446</v>
      </c>
      <c r="AQ165">
        <v>16164092.220000001</v>
      </c>
      <c r="AR165">
        <v>16164092.220000001</v>
      </c>
      <c r="AS165">
        <v>140.9008</v>
      </c>
      <c r="AT165">
        <v>187</v>
      </c>
      <c r="AU165">
        <v>8</v>
      </c>
      <c r="AV165">
        <v>140.9008</v>
      </c>
      <c r="AW165">
        <v>187</v>
      </c>
      <c r="AX165">
        <v>8</v>
      </c>
      <c r="AY165">
        <v>0</v>
      </c>
      <c r="AZ165">
        <v>123.5</v>
      </c>
      <c r="BA165">
        <v>177.4</v>
      </c>
      <c r="BB165">
        <v>15</v>
      </c>
      <c r="BC165">
        <v>0</v>
      </c>
      <c r="BD165">
        <v>46025</v>
      </c>
      <c r="BE165">
        <v>46037</v>
      </c>
    </row>
    <row r="166" spans="1:57" ht="15.2" customHeight="1" x14ac:dyDescent="0.25">
      <c r="A166" t="s">
        <v>158</v>
      </c>
      <c r="B166" t="s">
        <v>852</v>
      </c>
      <c r="C166" t="s">
        <v>500</v>
      </c>
      <c r="D166" t="s">
        <v>853</v>
      </c>
      <c r="E166" t="s">
        <v>420</v>
      </c>
      <c r="F166" t="s">
        <v>854</v>
      </c>
      <c r="G166" t="s">
        <v>855</v>
      </c>
      <c r="H166" t="s">
        <v>503</v>
      </c>
      <c r="I166" t="s">
        <v>422</v>
      </c>
      <c r="L166" t="s">
        <v>492</v>
      </c>
      <c r="N166" t="s">
        <v>424</v>
      </c>
      <c r="P166" t="s">
        <v>425</v>
      </c>
      <c r="Q166" t="s">
        <v>96</v>
      </c>
      <c r="R166" t="s">
        <v>856</v>
      </c>
      <c r="T166" t="s">
        <v>507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428</v>
      </c>
      <c r="AG166" t="s">
        <v>429</v>
      </c>
      <c r="AH166" t="s">
        <v>429</v>
      </c>
      <c r="AI166" t="s">
        <v>429</v>
      </c>
      <c r="AJ166" t="s">
        <v>430</v>
      </c>
      <c r="AK166" t="s">
        <v>430</v>
      </c>
      <c r="AN166" t="s">
        <v>431</v>
      </c>
      <c r="AO166" t="s">
        <v>432</v>
      </c>
      <c r="AQ166">
        <v>0</v>
      </c>
      <c r="AR166">
        <v>0</v>
      </c>
      <c r="AS166">
        <v>10.507300000000001</v>
      </c>
      <c r="AT166">
        <v>47</v>
      </c>
      <c r="AU166">
        <v>73</v>
      </c>
      <c r="AV166">
        <v>10.507300000000001</v>
      </c>
      <c r="AW166">
        <v>47</v>
      </c>
      <c r="AX166">
        <v>73</v>
      </c>
      <c r="AY166">
        <v>0</v>
      </c>
      <c r="AZ166">
        <v>15.5</v>
      </c>
      <c r="BA166">
        <v>62</v>
      </c>
      <c r="BB166">
        <v>70</v>
      </c>
      <c r="BC166">
        <v>0</v>
      </c>
      <c r="BD166">
        <v>46052</v>
      </c>
      <c r="BE166">
        <v>46058</v>
      </c>
    </row>
    <row r="167" spans="1:57" ht="15.2" customHeight="1" x14ac:dyDescent="0.25">
      <c r="A167" t="s">
        <v>158</v>
      </c>
      <c r="B167" t="s">
        <v>852</v>
      </c>
      <c r="C167" t="s">
        <v>500</v>
      </c>
      <c r="D167" t="s">
        <v>853</v>
      </c>
      <c r="E167" t="s">
        <v>420</v>
      </c>
      <c r="F167" t="s">
        <v>854</v>
      </c>
      <c r="G167" t="s">
        <v>855</v>
      </c>
      <c r="H167" t="s">
        <v>503</v>
      </c>
      <c r="I167" t="s">
        <v>422</v>
      </c>
      <c r="L167" t="s">
        <v>492</v>
      </c>
      <c r="N167" t="s">
        <v>424</v>
      </c>
      <c r="P167" t="s">
        <v>440</v>
      </c>
      <c r="Q167" t="s">
        <v>51</v>
      </c>
      <c r="R167" t="s">
        <v>857</v>
      </c>
      <c r="T167" t="s">
        <v>507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 t="s">
        <v>428</v>
      </c>
      <c r="AG167" t="s">
        <v>429</v>
      </c>
      <c r="AH167" t="s">
        <v>428</v>
      </c>
      <c r="AI167" t="s">
        <v>429</v>
      </c>
      <c r="AK167" t="s">
        <v>485</v>
      </c>
      <c r="AM167" t="s">
        <v>430</v>
      </c>
      <c r="AN167" t="s">
        <v>431</v>
      </c>
      <c r="AO167" t="s">
        <v>432</v>
      </c>
      <c r="AQ167">
        <v>0</v>
      </c>
      <c r="AR167">
        <v>0</v>
      </c>
      <c r="AS167">
        <v>15.5</v>
      </c>
      <c r="AT167">
        <v>62</v>
      </c>
      <c r="AU167">
        <v>70</v>
      </c>
      <c r="AV167">
        <v>10.507300000000001</v>
      </c>
      <c r="AW167">
        <v>47</v>
      </c>
      <c r="AX167">
        <v>73</v>
      </c>
      <c r="AY167">
        <v>0</v>
      </c>
      <c r="AZ167">
        <v>15.5</v>
      </c>
      <c r="BA167">
        <v>62</v>
      </c>
      <c r="BB167">
        <v>70</v>
      </c>
      <c r="BC167">
        <v>0</v>
      </c>
      <c r="BD167">
        <v>46048</v>
      </c>
      <c r="BE167">
        <v>46055</v>
      </c>
    </row>
    <row r="168" spans="1:57" ht="15.2" customHeight="1" x14ac:dyDescent="0.25">
      <c r="A168" t="s">
        <v>858</v>
      </c>
      <c r="B168" t="s">
        <v>859</v>
      </c>
      <c r="C168" t="s">
        <v>860</v>
      </c>
      <c r="D168" t="s">
        <v>853</v>
      </c>
      <c r="E168" t="s">
        <v>420</v>
      </c>
      <c r="F168" t="s">
        <v>854</v>
      </c>
      <c r="G168" t="s">
        <v>855</v>
      </c>
      <c r="H168" t="s">
        <v>503</v>
      </c>
      <c r="I168" t="s">
        <v>422</v>
      </c>
      <c r="L168" t="s">
        <v>492</v>
      </c>
      <c r="N168" t="s">
        <v>424</v>
      </c>
      <c r="P168" t="s">
        <v>425</v>
      </c>
      <c r="Q168" t="s">
        <v>103</v>
      </c>
      <c r="R168" t="s">
        <v>861</v>
      </c>
      <c r="T168" t="s">
        <v>507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428</v>
      </c>
      <c r="AG168" t="s">
        <v>429</v>
      </c>
      <c r="AH168" t="s">
        <v>429</v>
      </c>
      <c r="AI168" t="s">
        <v>429</v>
      </c>
      <c r="AJ168" t="s">
        <v>474</v>
      </c>
      <c r="AK168" t="s">
        <v>430</v>
      </c>
      <c r="AN168" t="s">
        <v>431</v>
      </c>
      <c r="AO168" t="s">
        <v>432</v>
      </c>
      <c r="AQ168">
        <v>0</v>
      </c>
      <c r="AR168">
        <v>0</v>
      </c>
      <c r="AS168">
        <v>11.608400000000001</v>
      </c>
      <c r="AT168">
        <v>14</v>
      </c>
      <c r="AU168">
        <v>0.1</v>
      </c>
      <c r="AV168">
        <v>11.608400000000001</v>
      </c>
      <c r="AW168">
        <v>14</v>
      </c>
      <c r="AX168">
        <v>0.1</v>
      </c>
      <c r="AY168">
        <v>0</v>
      </c>
      <c r="AZ168">
        <v>16.8</v>
      </c>
      <c r="BA168">
        <v>33</v>
      </c>
      <c r="BB168">
        <v>39</v>
      </c>
      <c r="BC168">
        <v>0</v>
      </c>
      <c r="BD168">
        <v>46058</v>
      </c>
      <c r="BE168">
        <v>46068</v>
      </c>
    </row>
    <row r="169" spans="1:57" ht="15.2" customHeight="1" x14ac:dyDescent="0.25">
      <c r="A169" t="s">
        <v>236</v>
      </c>
      <c r="B169" t="s">
        <v>862</v>
      </c>
      <c r="C169" t="s">
        <v>863</v>
      </c>
      <c r="D169" t="s">
        <v>642</v>
      </c>
      <c r="E169" t="s">
        <v>420</v>
      </c>
      <c r="F169" t="s">
        <v>651</v>
      </c>
      <c r="G169" t="s">
        <v>421</v>
      </c>
      <c r="H169" t="s">
        <v>579</v>
      </c>
      <c r="I169" t="s">
        <v>422</v>
      </c>
      <c r="L169" t="s">
        <v>644</v>
      </c>
      <c r="N169" t="s">
        <v>520</v>
      </c>
      <c r="O169" t="s">
        <v>527</v>
      </c>
      <c r="P169" t="s">
        <v>440</v>
      </c>
      <c r="Q169" t="s">
        <v>51</v>
      </c>
      <c r="R169" t="s">
        <v>864</v>
      </c>
      <c r="S169" t="s">
        <v>422</v>
      </c>
      <c r="T169" t="s">
        <v>507</v>
      </c>
      <c r="W169">
        <v>46069.875</v>
      </c>
      <c r="X169">
        <v>0</v>
      </c>
      <c r="Y169">
        <v>45713</v>
      </c>
      <c r="Z169">
        <v>0</v>
      </c>
      <c r="AA169">
        <v>0</v>
      </c>
      <c r="AB169">
        <v>32.85</v>
      </c>
      <c r="AC169">
        <v>0</v>
      </c>
      <c r="AD169">
        <v>0</v>
      </c>
      <c r="AE169">
        <v>0</v>
      </c>
      <c r="AF169" t="s">
        <v>428</v>
      </c>
      <c r="AG169" t="s">
        <v>429</v>
      </c>
      <c r="AH169" t="s">
        <v>428</v>
      </c>
      <c r="AI169" t="s">
        <v>428</v>
      </c>
      <c r="AK169" t="s">
        <v>474</v>
      </c>
      <c r="AM169" t="s">
        <v>430</v>
      </c>
      <c r="AN169" t="s">
        <v>430</v>
      </c>
      <c r="AO169" t="s">
        <v>446</v>
      </c>
      <c r="AQ169">
        <v>791128.09</v>
      </c>
      <c r="AR169">
        <v>791128.09</v>
      </c>
      <c r="AS169">
        <v>34.752400000000002</v>
      </c>
      <c r="AT169">
        <v>51</v>
      </c>
      <c r="AU169">
        <v>18</v>
      </c>
      <c r="AV169">
        <v>34.752400000000002</v>
      </c>
      <c r="AW169">
        <v>51</v>
      </c>
      <c r="AX169">
        <v>18</v>
      </c>
      <c r="AY169">
        <v>0</v>
      </c>
      <c r="AZ169">
        <v>34.752400000000002</v>
      </c>
      <c r="BA169">
        <v>51</v>
      </c>
      <c r="BB169">
        <v>18</v>
      </c>
      <c r="BC169">
        <v>0</v>
      </c>
      <c r="BD169">
        <v>46069</v>
      </c>
      <c r="BE169">
        <v>46079</v>
      </c>
    </row>
    <row r="170" spans="1:57" ht="15.2" customHeight="1" x14ac:dyDescent="0.25">
      <c r="A170" t="s">
        <v>306</v>
      </c>
      <c r="B170" t="s">
        <v>865</v>
      </c>
      <c r="C170" t="s">
        <v>866</v>
      </c>
      <c r="D170" t="s">
        <v>489</v>
      </c>
      <c r="E170" t="s">
        <v>420</v>
      </c>
      <c r="F170" t="s">
        <v>490</v>
      </c>
      <c r="G170" t="s">
        <v>469</v>
      </c>
      <c r="I170" t="s">
        <v>422</v>
      </c>
      <c r="L170" t="s">
        <v>492</v>
      </c>
      <c r="N170" t="s">
        <v>424</v>
      </c>
      <c r="O170" t="s">
        <v>867</v>
      </c>
      <c r="P170" t="s">
        <v>440</v>
      </c>
      <c r="Q170" t="s">
        <v>51</v>
      </c>
      <c r="R170" t="s">
        <v>868</v>
      </c>
      <c r="S170" t="s">
        <v>422</v>
      </c>
      <c r="T170" t="s">
        <v>507</v>
      </c>
      <c r="W170">
        <v>46068.208333333336</v>
      </c>
      <c r="X170">
        <v>0</v>
      </c>
      <c r="Y170">
        <v>45636</v>
      </c>
      <c r="Z170">
        <v>0</v>
      </c>
      <c r="AA170">
        <v>0</v>
      </c>
      <c r="AB170">
        <v>46.31</v>
      </c>
      <c r="AC170">
        <v>0</v>
      </c>
      <c r="AD170">
        <v>0</v>
      </c>
      <c r="AE170">
        <v>0</v>
      </c>
      <c r="AF170" t="s">
        <v>428</v>
      </c>
      <c r="AG170" t="s">
        <v>428</v>
      </c>
      <c r="AH170" t="s">
        <v>428</v>
      </c>
      <c r="AI170" t="s">
        <v>428</v>
      </c>
      <c r="AK170" t="s">
        <v>474</v>
      </c>
      <c r="AL170" t="s">
        <v>430</v>
      </c>
      <c r="AM170" t="s">
        <v>430</v>
      </c>
      <c r="AN170" t="s">
        <v>430</v>
      </c>
      <c r="AO170" t="s">
        <v>446</v>
      </c>
      <c r="AQ170">
        <v>900446.48</v>
      </c>
      <c r="AR170">
        <v>900446.48</v>
      </c>
      <c r="AS170">
        <v>148.00970000000001</v>
      </c>
      <c r="AT170">
        <v>753</v>
      </c>
      <c r="AU170">
        <v>76</v>
      </c>
      <c r="AV170">
        <v>148.00970000000001</v>
      </c>
      <c r="AW170">
        <v>753</v>
      </c>
      <c r="AX170">
        <v>76</v>
      </c>
      <c r="AY170">
        <v>0</v>
      </c>
      <c r="AZ170">
        <v>148.00970000000001</v>
      </c>
      <c r="BA170">
        <v>753</v>
      </c>
      <c r="BB170">
        <v>76</v>
      </c>
      <c r="BC170">
        <v>0</v>
      </c>
      <c r="BD170">
        <v>46062</v>
      </c>
      <c r="BE170">
        <v>46072</v>
      </c>
    </row>
    <row r="171" spans="1:57" ht="15.2" customHeight="1" x14ac:dyDescent="0.25">
      <c r="A171" t="s">
        <v>306</v>
      </c>
      <c r="B171" t="s">
        <v>865</v>
      </c>
      <c r="C171" t="s">
        <v>866</v>
      </c>
      <c r="D171" t="s">
        <v>489</v>
      </c>
      <c r="E171" t="s">
        <v>420</v>
      </c>
      <c r="F171" t="s">
        <v>490</v>
      </c>
      <c r="G171" t="s">
        <v>469</v>
      </c>
      <c r="I171" t="s">
        <v>422</v>
      </c>
      <c r="L171" t="s">
        <v>492</v>
      </c>
      <c r="N171" t="s">
        <v>424</v>
      </c>
      <c r="O171" t="s">
        <v>493</v>
      </c>
      <c r="P171" t="s">
        <v>440</v>
      </c>
      <c r="Q171" t="s">
        <v>449</v>
      </c>
      <c r="R171" t="s">
        <v>869</v>
      </c>
      <c r="S171" t="s">
        <v>422</v>
      </c>
      <c r="T171" t="s">
        <v>507</v>
      </c>
      <c r="W171">
        <v>46064.791666666664</v>
      </c>
      <c r="X171">
        <v>46067.541666666664</v>
      </c>
      <c r="Y171">
        <v>45636</v>
      </c>
      <c r="Z171">
        <v>66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429</v>
      </c>
      <c r="AG171" t="s">
        <v>429</v>
      </c>
      <c r="AH171" t="s">
        <v>429</v>
      </c>
      <c r="AI171" t="s">
        <v>429</v>
      </c>
      <c r="AN171" t="s">
        <v>431</v>
      </c>
      <c r="AO171" t="s">
        <v>432</v>
      </c>
      <c r="AQ171">
        <v>0</v>
      </c>
      <c r="AR171">
        <v>0</v>
      </c>
      <c r="AS171">
        <v>148.00970000000001</v>
      </c>
      <c r="AT171">
        <v>753</v>
      </c>
      <c r="AU171">
        <v>76</v>
      </c>
      <c r="AV171">
        <v>148.00970000000001</v>
      </c>
      <c r="AW171">
        <v>753</v>
      </c>
      <c r="AX171">
        <v>76</v>
      </c>
      <c r="AY171">
        <v>0</v>
      </c>
      <c r="AZ171">
        <v>148.00970000000001</v>
      </c>
      <c r="BA171">
        <v>753</v>
      </c>
      <c r="BB171">
        <v>76</v>
      </c>
      <c r="BC171">
        <v>0</v>
      </c>
      <c r="BD171">
        <v>46064</v>
      </c>
      <c r="BE171">
        <v>46068</v>
      </c>
    </row>
    <row r="172" spans="1:57" ht="15.2" customHeight="1" x14ac:dyDescent="0.25">
      <c r="A172" t="s">
        <v>870</v>
      </c>
      <c r="B172" t="s">
        <v>871</v>
      </c>
      <c r="C172" t="s">
        <v>866</v>
      </c>
      <c r="D172" t="s">
        <v>489</v>
      </c>
      <c r="E172" t="s">
        <v>420</v>
      </c>
      <c r="F172" t="s">
        <v>490</v>
      </c>
      <c r="G172" t="s">
        <v>469</v>
      </c>
      <c r="H172" t="s">
        <v>491</v>
      </c>
      <c r="I172" t="s">
        <v>422</v>
      </c>
      <c r="L172" t="s">
        <v>492</v>
      </c>
      <c r="N172" t="s">
        <v>424</v>
      </c>
      <c r="O172" t="s">
        <v>496</v>
      </c>
      <c r="P172" t="s">
        <v>425</v>
      </c>
      <c r="Q172" t="s">
        <v>157</v>
      </c>
      <c r="R172" t="s">
        <v>872</v>
      </c>
      <c r="S172" t="s">
        <v>422</v>
      </c>
      <c r="T172" t="s">
        <v>507</v>
      </c>
      <c r="W172">
        <v>46026.958333333336</v>
      </c>
      <c r="X172">
        <v>46055.625</v>
      </c>
      <c r="Y172">
        <v>45927</v>
      </c>
      <c r="Z172">
        <v>560</v>
      </c>
      <c r="AA172">
        <v>513.33000000000004</v>
      </c>
      <c r="AB172">
        <v>421.54</v>
      </c>
      <c r="AC172">
        <v>263.83</v>
      </c>
      <c r="AD172">
        <v>273.08</v>
      </c>
      <c r="AE172">
        <v>240.25</v>
      </c>
      <c r="AF172" t="s">
        <v>428</v>
      </c>
      <c r="AG172" t="s">
        <v>429</v>
      </c>
      <c r="AH172" t="s">
        <v>429</v>
      </c>
      <c r="AI172" t="s">
        <v>428</v>
      </c>
      <c r="AJ172" t="s">
        <v>430</v>
      </c>
      <c r="AK172" t="s">
        <v>430</v>
      </c>
      <c r="AN172" t="s">
        <v>498</v>
      </c>
      <c r="AO172" t="s">
        <v>446</v>
      </c>
      <c r="AQ172">
        <v>10119216.369999999</v>
      </c>
      <c r="AR172">
        <v>10119216.369999999</v>
      </c>
      <c r="AS172">
        <v>328.0095</v>
      </c>
      <c r="AT172">
        <v>445</v>
      </c>
      <c r="AU172">
        <v>10</v>
      </c>
      <c r="AV172">
        <v>328.0095</v>
      </c>
      <c r="AW172">
        <v>445</v>
      </c>
      <c r="AX172">
        <v>10</v>
      </c>
      <c r="AY172">
        <v>0</v>
      </c>
      <c r="AZ172">
        <v>348.3</v>
      </c>
      <c r="BA172">
        <v>531.6</v>
      </c>
      <c r="BB172">
        <v>20</v>
      </c>
      <c r="BC172">
        <v>0</v>
      </c>
      <c r="BD172">
        <v>46026</v>
      </c>
      <c r="BE172">
        <v>46037</v>
      </c>
    </row>
    <row r="173" spans="1:57" ht="15.2" customHeight="1" x14ac:dyDescent="0.25">
      <c r="A173" t="s">
        <v>102</v>
      </c>
      <c r="B173" t="s">
        <v>873</v>
      </c>
      <c r="C173" t="s">
        <v>866</v>
      </c>
      <c r="D173" t="s">
        <v>489</v>
      </c>
      <c r="E173" t="s">
        <v>420</v>
      </c>
      <c r="F173" t="s">
        <v>622</v>
      </c>
      <c r="G173" t="s">
        <v>469</v>
      </c>
      <c r="H173" t="s">
        <v>579</v>
      </c>
      <c r="L173" t="s">
        <v>492</v>
      </c>
      <c r="N173" t="s">
        <v>424</v>
      </c>
      <c r="O173" t="s">
        <v>560</v>
      </c>
      <c r="P173" t="s">
        <v>425</v>
      </c>
      <c r="Q173" t="s">
        <v>874</v>
      </c>
      <c r="R173" t="s">
        <v>875</v>
      </c>
      <c r="T173" t="s">
        <v>571</v>
      </c>
      <c r="W173">
        <v>46054.416666666664</v>
      </c>
      <c r="X173">
        <v>46059.041666666664</v>
      </c>
      <c r="Y173">
        <v>45453</v>
      </c>
      <c r="Z173">
        <v>111</v>
      </c>
      <c r="AA173">
        <v>101.75</v>
      </c>
      <c r="AB173">
        <v>50.95</v>
      </c>
      <c r="AC173">
        <v>30.5</v>
      </c>
      <c r="AD173">
        <v>57.5</v>
      </c>
      <c r="AE173">
        <v>44.25</v>
      </c>
      <c r="AF173" t="s">
        <v>428</v>
      </c>
      <c r="AG173" t="s">
        <v>429</v>
      </c>
      <c r="AH173" t="s">
        <v>429</v>
      </c>
      <c r="AI173" t="s">
        <v>428</v>
      </c>
      <c r="AJ173" t="s">
        <v>474</v>
      </c>
      <c r="AK173" t="s">
        <v>474</v>
      </c>
      <c r="AN173" t="s">
        <v>485</v>
      </c>
      <c r="AO173" t="s">
        <v>446</v>
      </c>
      <c r="AQ173">
        <v>1696913.61</v>
      </c>
      <c r="AR173">
        <v>1696913.61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Z173">
        <v>0</v>
      </c>
      <c r="BA173">
        <v>0</v>
      </c>
      <c r="BB173">
        <v>0</v>
      </c>
      <c r="BC173">
        <v>800</v>
      </c>
      <c r="BD173">
        <v>46054</v>
      </c>
      <c r="BE173">
        <v>46058</v>
      </c>
    </row>
    <row r="174" spans="1:57" ht="15.2" customHeight="1" x14ac:dyDescent="0.25">
      <c r="A174" t="s">
        <v>164</v>
      </c>
      <c r="B174" t="s">
        <v>876</v>
      </c>
      <c r="C174" t="s">
        <v>866</v>
      </c>
      <c r="D174" t="s">
        <v>489</v>
      </c>
      <c r="E174" t="s">
        <v>420</v>
      </c>
      <c r="F174" t="s">
        <v>622</v>
      </c>
      <c r="G174" t="s">
        <v>469</v>
      </c>
      <c r="H174" t="s">
        <v>503</v>
      </c>
      <c r="I174" t="s">
        <v>422</v>
      </c>
      <c r="L174" t="s">
        <v>492</v>
      </c>
      <c r="N174" t="s">
        <v>424</v>
      </c>
      <c r="O174" t="s">
        <v>867</v>
      </c>
      <c r="P174" t="s">
        <v>425</v>
      </c>
      <c r="Q174" t="s">
        <v>92</v>
      </c>
      <c r="R174" t="s">
        <v>877</v>
      </c>
      <c r="S174" t="s">
        <v>422</v>
      </c>
      <c r="T174" t="s">
        <v>507</v>
      </c>
      <c r="W174">
        <v>46025.333333333336</v>
      </c>
      <c r="X174">
        <v>46057.708333333336</v>
      </c>
      <c r="Y174">
        <v>45998</v>
      </c>
      <c r="Z174">
        <v>777</v>
      </c>
      <c r="AA174">
        <v>712.25</v>
      </c>
      <c r="AB174">
        <v>661.19</v>
      </c>
      <c r="AC174">
        <v>369.5</v>
      </c>
      <c r="AD174">
        <v>371.67</v>
      </c>
      <c r="AE174">
        <v>340.58</v>
      </c>
      <c r="AF174" t="s">
        <v>428</v>
      </c>
      <c r="AG174" t="s">
        <v>429</v>
      </c>
      <c r="AH174" t="s">
        <v>428</v>
      </c>
      <c r="AI174" t="s">
        <v>428</v>
      </c>
      <c r="AJ174" t="s">
        <v>474</v>
      </c>
      <c r="AK174" t="s">
        <v>474</v>
      </c>
      <c r="AM174" t="s">
        <v>485</v>
      </c>
      <c r="AN174" t="s">
        <v>498</v>
      </c>
      <c r="AO174" t="s">
        <v>446</v>
      </c>
      <c r="AQ174">
        <v>16174928.25</v>
      </c>
      <c r="AR174">
        <v>16174928.25</v>
      </c>
      <c r="AS174">
        <v>107.2972</v>
      </c>
      <c r="AT174">
        <v>397</v>
      </c>
      <c r="AU174">
        <v>67</v>
      </c>
      <c r="AV174">
        <v>104.59450000000001</v>
      </c>
      <c r="AW174">
        <v>387</v>
      </c>
      <c r="AX174">
        <v>67</v>
      </c>
      <c r="AY174">
        <v>0</v>
      </c>
      <c r="AZ174">
        <v>105</v>
      </c>
      <c r="BA174">
        <v>390</v>
      </c>
      <c r="BB174">
        <v>67</v>
      </c>
      <c r="BC174">
        <v>0</v>
      </c>
      <c r="BD174">
        <v>46012</v>
      </c>
      <c r="BE174">
        <v>46034</v>
      </c>
    </row>
    <row r="175" spans="1:57" ht="15.2" customHeight="1" x14ac:dyDescent="0.25">
      <c r="A175" t="s">
        <v>242</v>
      </c>
      <c r="B175" t="s">
        <v>878</v>
      </c>
      <c r="C175" t="s">
        <v>866</v>
      </c>
      <c r="D175" t="s">
        <v>489</v>
      </c>
      <c r="E175" t="s">
        <v>420</v>
      </c>
      <c r="F175" t="s">
        <v>622</v>
      </c>
      <c r="G175" t="s">
        <v>469</v>
      </c>
      <c r="H175" t="s">
        <v>579</v>
      </c>
      <c r="I175" t="s">
        <v>422</v>
      </c>
      <c r="L175" t="s">
        <v>492</v>
      </c>
      <c r="N175" t="s">
        <v>424</v>
      </c>
      <c r="O175" t="s">
        <v>867</v>
      </c>
      <c r="P175" t="s">
        <v>425</v>
      </c>
      <c r="Q175" t="s">
        <v>157</v>
      </c>
      <c r="R175" t="s">
        <v>879</v>
      </c>
      <c r="S175" t="s">
        <v>422</v>
      </c>
      <c r="T175" t="s">
        <v>507</v>
      </c>
      <c r="W175">
        <v>46057.708333333336</v>
      </c>
      <c r="X175">
        <v>0</v>
      </c>
      <c r="Y175">
        <v>45989</v>
      </c>
      <c r="Z175">
        <v>0</v>
      </c>
      <c r="AA175">
        <v>0</v>
      </c>
      <c r="AB175">
        <v>221.1</v>
      </c>
      <c r="AC175">
        <v>0</v>
      </c>
      <c r="AD175">
        <v>0</v>
      </c>
      <c r="AE175">
        <v>0</v>
      </c>
      <c r="AF175" t="s">
        <v>428</v>
      </c>
      <c r="AG175" t="s">
        <v>429</v>
      </c>
      <c r="AH175" t="s">
        <v>429</v>
      </c>
      <c r="AI175" t="s">
        <v>428</v>
      </c>
      <c r="AJ175" t="s">
        <v>474</v>
      </c>
      <c r="AK175" t="s">
        <v>474</v>
      </c>
      <c r="AN175" t="s">
        <v>430</v>
      </c>
      <c r="AO175" t="s">
        <v>446</v>
      </c>
      <c r="AQ175">
        <v>4170344.8</v>
      </c>
      <c r="AR175">
        <v>4170344.8</v>
      </c>
      <c r="AS175">
        <v>141.96550000000002</v>
      </c>
      <c r="AT175">
        <v>321</v>
      </c>
      <c r="AU175">
        <v>46</v>
      </c>
      <c r="AV175">
        <v>141.96550000000002</v>
      </c>
      <c r="AW175">
        <v>321</v>
      </c>
      <c r="AX175">
        <v>46</v>
      </c>
      <c r="AY175">
        <v>0</v>
      </c>
      <c r="AZ175">
        <v>184.8</v>
      </c>
      <c r="BA175">
        <v>490.5</v>
      </c>
      <c r="BB175">
        <v>54</v>
      </c>
      <c r="BC175">
        <v>0</v>
      </c>
      <c r="BD175">
        <v>46054</v>
      </c>
      <c r="BE175">
        <v>46074</v>
      </c>
    </row>
    <row r="176" spans="1:57" ht="15.2" customHeight="1" x14ac:dyDescent="0.25">
      <c r="A176" t="s">
        <v>242</v>
      </c>
      <c r="B176" t="s">
        <v>878</v>
      </c>
      <c r="C176" t="s">
        <v>866</v>
      </c>
      <c r="D176" t="s">
        <v>489</v>
      </c>
      <c r="E176" t="s">
        <v>420</v>
      </c>
      <c r="F176" t="s">
        <v>622</v>
      </c>
      <c r="G176" t="s">
        <v>469</v>
      </c>
      <c r="H176" t="s">
        <v>579</v>
      </c>
      <c r="I176" t="s">
        <v>422</v>
      </c>
      <c r="L176" t="s">
        <v>492</v>
      </c>
      <c r="N176" t="s">
        <v>424</v>
      </c>
      <c r="P176" t="s">
        <v>440</v>
      </c>
      <c r="Q176" t="s">
        <v>51</v>
      </c>
      <c r="R176" t="s">
        <v>880</v>
      </c>
      <c r="T176" t="s">
        <v>507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428</v>
      </c>
      <c r="AG176" t="s">
        <v>429</v>
      </c>
      <c r="AH176" t="s">
        <v>428</v>
      </c>
      <c r="AI176" t="s">
        <v>429</v>
      </c>
      <c r="AK176" t="s">
        <v>430</v>
      </c>
      <c r="AM176" t="s">
        <v>485</v>
      </c>
      <c r="AN176" t="s">
        <v>431</v>
      </c>
      <c r="AO176" t="s">
        <v>432</v>
      </c>
      <c r="AQ176">
        <v>0</v>
      </c>
      <c r="AR176">
        <v>0</v>
      </c>
      <c r="AS176">
        <v>157.73940000000002</v>
      </c>
      <c r="AT176">
        <v>321</v>
      </c>
      <c r="AU176">
        <v>40</v>
      </c>
      <c r="AV176">
        <v>141.96550000000002</v>
      </c>
      <c r="AW176">
        <v>321</v>
      </c>
      <c r="AX176">
        <v>46</v>
      </c>
      <c r="AY176">
        <v>0</v>
      </c>
      <c r="AZ176">
        <v>157.73940000000002</v>
      </c>
      <c r="BA176">
        <v>321</v>
      </c>
      <c r="BB176">
        <v>40</v>
      </c>
      <c r="BC176">
        <v>0</v>
      </c>
      <c r="BD176">
        <v>46063</v>
      </c>
      <c r="BE176">
        <v>46075</v>
      </c>
    </row>
    <row r="177" spans="1:57" ht="15.2" customHeight="1" x14ac:dyDescent="0.25">
      <c r="A177" t="s">
        <v>881</v>
      </c>
      <c r="B177" t="s">
        <v>882</v>
      </c>
      <c r="C177" t="s">
        <v>866</v>
      </c>
      <c r="D177" t="s">
        <v>437</v>
      </c>
      <c r="E177" t="s">
        <v>420</v>
      </c>
      <c r="F177" t="s">
        <v>501</v>
      </c>
      <c r="G177" t="s">
        <v>502</v>
      </c>
      <c r="I177" t="s">
        <v>422</v>
      </c>
      <c r="L177" t="s">
        <v>504</v>
      </c>
      <c r="N177" t="s">
        <v>424</v>
      </c>
      <c r="O177" t="s">
        <v>439</v>
      </c>
      <c r="P177" t="s">
        <v>440</v>
      </c>
      <c r="Q177" t="s">
        <v>456</v>
      </c>
      <c r="R177" t="s">
        <v>883</v>
      </c>
      <c r="S177" t="s">
        <v>422</v>
      </c>
      <c r="T177" t="s">
        <v>507</v>
      </c>
      <c r="W177">
        <v>46067.833333333336</v>
      </c>
      <c r="X177">
        <v>46069.375</v>
      </c>
      <c r="Y177">
        <v>0</v>
      </c>
      <c r="Z177">
        <v>37</v>
      </c>
      <c r="AA177">
        <v>0</v>
      </c>
      <c r="AB177">
        <v>0</v>
      </c>
      <c r="AC177">
        <v>0</v>
      </c>
      <c r="AD177">
        <v>0</v>
      </c>
      <c r="AE177">
        <v>0</v>
      </c>
      <c r="AF177" t="s">
        <v>429</v>
      </c>
      <c r="AG177" t="s">
        <v>429</v>
      </c>
      <c r="AH177" t="s">
        <v>429</v>
      </c>
      <c r="AI177" t="s">
        <v>429</v>
      </c>
      <c r="AN177" t="s">
        <v>431</v>
      </c>
      <c r="AO177" t="s">
        <v>432</v>
      </c>
      <c r="AQ177">
        <v>0</v>
      </c>
      <c r="AR177">
        <v>0</v>
      </c>
      <c r="AS177">
        <v>217.5667</v>
      </c>
      <c r="AT177">
        <v>532</v>
      </c>
      <c r="AU177">
        <v>52</v>
      </c>
      <c r="AV177">
        <v>217.5667</v>
      </c>
      <c r="AW177">
        <v>532</v>
      </c>
      <c r="AX177">
        <v>52</v>
      </c>
      <c r="AY177">
        <v>0</v>
      </c>
      <c r="AZ177">
        <v>217.5667</v>
      </c>
      <c r="BA177">
        <v>532</v>
      </c>
      <c r="BB177">
        <v>52</v>
      </c>
      <c r="BC177">
        <v>0</v>
      </c>
      <c r="BD177">
        <v>46067</v>
      </c>
      <c r="BE177">
        <v>46070</v>
      </c>
    </row>
    <row r="178" spans="1:57" ht="15.2" customHeight="1" x14ac:dyDescent="0.25">
      <c r="A178" t="s">
        <v>881</v>
      </c>
      <c r="B178" t="s">
        <v>882</v>
      </c>
      <c r="C178" t="s">
        <v>866</v>
      </c>
      <c r="D178" t="s">
        <v>437</v>
      </c>
      <c r="E178" t="s">
        <v>420</v>
      </c>
      <c r="F178" t="s">
        <v>501</v>
      </c>
      <c r="G178" t="s">
        <v>502</v>
      </c>
      <c r="I178" t="s">
        <v>422</v>
      </c>
      <c r="L178" t="s">
        <v>504</v>
      </c>
      <c r="N178" t="s">
        <v>424</v>
      </c>
      <c r="O178" t="s">
        <v>439</v>
      </c>
      <c r="P178" t="s">
        <v>440</v>
      </c>
      <c r="Q178" t="s">
        <v>505</v>
      </c>
      <c r="R178" t="s">
        <v>884</v>
      </c>
      <c r="T178" t="s">
        <v>507</v>
      </c>
      <c r="W178">
        <v>46052.875</v>
      </c>
      <c r="X178">
        <v>46054.5</v>
      </c>
      <c r="Y178">
        <v>0</v>
      </c>
      <c r="Z178">
        <v>39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429</v>
      </c>
      <c r="AG178" t="s">
        <v>429</v>
      </c>
      <c r="AH178" t="s">
        <v>429</v>
      </c>
      <c r="AI178" t="s">
        <v>429</v>
      </c>
      <c r="AN178" t="s">
        <v>431</v>
      </c>
      <c r="AO178" t="s">
        <v>432</v>
      </c>
      <c r="AQ178">
        <v>0</v>
      </c>
      <c r="AR178">
        <v>0</v>
      </c>
      <c r="AS178">
        <v>308.21950000000004</v>
      </c>
      <c r="AT178">
        <v>532</v>
      </c>
      <c r="AU178">
        <v>32</v>
      </c>
      <c r="AV178">
        <v>308.21950000000004</v>
      </c>
      <c r="AW178">
        <v>532</v>
      </c>
      <c r="AX178">
        <v>32</v>
      </c>
      <c r="AY178">
        <v>0</v>
      </c>
      <c r="AZ178">
        <v>308.21950000000004</v>
      </c>
      <c r="BA178">
        <v>532</v>
      </c>
      <c r="BB178">
        <v>32</v>
      </c>
      <c r="BC178">
        <v>0</v>
      </c>
      <c r="BD178">
        <v>46052</v>
      </c>
      <c r="BE178">
        <v>46053</v>
      </c>
    </row>
    <row r="179" spans="1:57" ht="15.2" customHeight="1" x14ac:dyDescent="0.25">
      <c r="A179" t="s">
        <v>885</v>
      </c>
      <c r="B179" t="s">
        <v>886</v>
      </c>
      <c r="C179" t="s">
        <v>866</v>
      </c>
      <c r="D179" t="s">
        <v>489</v>
      </c>
      <c r="E179" t="s">
        <v>420</v>
      </c>
      <c r="F179" t="s">
        <v>490</v>
      </c>
      <c r="G179" t="s">
        <v>469</v>
      </c>
      <c r="H179" t="s">
        <v>561</v>
      </c>
      <c r="I179" t="s">
        <v>422</v>
      </c>
      <c r="L179" t="s">
        <v>492</v>
      </c>
      <c r="N179" t="s">
        <v>424</v>
      </c>
      <c r="O179" t="s">
        <v>638</v>
      </c>
      <c r="P179" t="s">
        <v>440</v>
      </c>
      <c r="Q179" t="s">
        <v>441</v>
      </c>
      <c r="R179" t="s">
        <v>887</v>
      </c>
      <c r="S179" t="s">
        <v>422</v>
      </c>
      <c r="T179" t="s">
        <v>427</v>
      </c>
      <c r="W179">
        <v>46066.875</v>
      </c>
      <c r="X179">
        <v>46067.333333333336</v>
      </c>
      <c r="Y179">
        <v>45621</v>
      </c>
      <c r="Z179">
        <v>11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429</v>
      </c>
      <c r="AG179" t="s">
        <v>429</v>
      </c>
      <c r="AH179" t="s">
        <v>429</v>
      </c>
      <c r="AI179" t="s">
        <v>429</v>
      </c>
      <c r="AN179" t="s">
        <v>431</v>
      </c>
      <c r="AO179" t="s">
        <v>432</v>
      </c>
      <c r="AQ179">
        <v>0</v>
      </c>
      <c r="AR179">
        <v>0</v>
      </c>
      <c r="AS179">
        <v>0</v>
      </c>
      <c r="AT179">
        <v>1083</v>
      </c>
      <c r="AU179">
        <v>0</v>
      </c>
      <c r="AV179">
        <v>0</v>
      </c>
      <c r="AW179">
        <v>1083</v>
      </c>
      <c r="AX179">
        <v>0</v>
      </c>
      <c r="AY179">
        <v>0</v>
      </c>
      <c r="AZ179">
        <v>0</v>
      </c>
      <c r="BA179">
        <v>1083</v>
      </c>
      <c r="BB179">
        <v>0</v>
      </c>
      <c r="BC179">
        <v>0</v>
      </c>
      <c r="BD179">
        <v>46066</v>
      </c>
      <c r="BE179">
        <v>46068</v>
      </c>
    </row>
    <row r="180" spans="1:57" ht="15.2" customHeight="1" x14ac:dyDescent="0.25">
      <c r="A180" t="s">
        <v>341</v>
      </c>
      <c r="B180" t="s">
        <v>888</v>
      </c>
      <c r="C180" t="s">
        <v>866</v>
      </c>
      <c r="D180" t="s">
        <v>489</v>
      </c>
      <c r="E180" t="s">
        <v>420</v>
      </c>
      <c r="F180" t="s">
        <v>490</v>
      </c>
      <c r="G180" t="s">
        <v>469</v>
      </c>
      <c r="I180" t="s">
        <v>422</v>
      </c>
      <c r="L180" t="s">
        <v>492</v>
      </c>
      <c r="N180" t="s">
        <v>424</v>
      </c>
      <c r="O180" t="s">
        <v>531</v>
      </c>
      <c r="P180" t="s">
        <v>440</v>
      </c>
      <c r="Q180" t="s">
        <v>53</v>
      </c>
      <c r="R180" t="s">
        <v>889</v>
      </c>
      <c r="S180" t="s">
        <v>422</v>
      </c>
      <c r="T180" t="s">
        <v>427</v>
      </c>
      <c r="W180">
        <v>46069.833333333336</v>
      </c>
      <c r="X180">
        <v>46070.5</v>
      </c>
      <c r="Y180">
        <v>0</v>
      </c>
      <c r="Z180">
        <v>16</v>
      </c>
      <c r="AA180">
        <v>14.67</v>
      </c>
      <c r="AB180">
        <v>12.540000000000001</v>
      </c>
      <c r="AC180">
        <v>0</v>
      </c>
      <c r="AD180">
        <v>2</v>
      </c>
      <c r="AE180">
        <v>12.67</v>
      </c>
      <c r="AF180" t="s">
        <v>428</v>
      </c>
      <c r="AG180" t="s">
        <v>429</v>
      </c>
      <c r="AH180" t="s">
        <v>429</v>
      </c>
      <c r="AI180" t="s">
        <v>428</v>
      </c>
      <c r="AK180" t="s">
        <v>485</v>
      </c>
      <c r="AN180" t="s">
        <v>430</v>
      </c>
      <c r="AO180" t="s">
        <v>446</v>
      </c>
      <c r="AQ180">
        <v>235312.41</v>
      </c>
      <c r="AR180">
        <v>235312.41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46069</v>
      </c>
      <c r="BE180">
        <v>46070</v>
      </c>
    </row>
    <row r="181" spans="1:57" ht="15.2" customHeight="1" x14ac:dyDescent="0.25">
      <c r="A181" t="s">
        <v>890</v>
      </c>
      <c r="B181" t="s">
        <v>891</v>
      </c>
      <c r="C181" t="s">
        <v>866</v>
      </c>
      <c r="D181" t="s">
        <v>489</v>
      </c>
      <c r="E181" t="s">
        <v>420</v>
      </c>
      <c r="F181" t="s">
        <v>490</v>
      </c>
      <c r="G181" t="s">
        <v>469</v>
      </c>
      <c r="I181" t="s">
        <v>422</v>
      </c>
      <c r="L181" t="s">
        <v>492</v>
      </c>
      <c r="N181" t="s">
        <v>424</v>
      </c>
      <c r="O181" t="s">
        <v>531</v>
      </c>
      <c r="P181" t="s">
        <v>440</v>
      </c>
      <c r="Q181" t="s">
        <v>53</v>
      </c>
      <c r="R181" t="s">
        <v>892</v>
      </c>
      <c r="S181" t="s">
        <v>422</v>
      </c>
      <c r="T181" t="s">
        <v>427</v>
      </c>
      <c r="W181">
        <v>46066.375</v>
      </c>
      <c r="X181">
        <v>0</v>
      </c>
      <c r="Y181">
        <v>45516</v>
      </c>
      <c r="Z181">
        <v>0</v>
      </c>
      <c r="AA181">
        <v>0</v>
      </c>
      <c r="AB181">
        <v>84.03</v>
      </c>
      <c r="AC181">
        <v>0</v>
      </c>
      <c r="AD181">
        <v>0</v>
      </c>
      <c r="AE181">
        <v>0</v>
      </c>
      <c r="AF181" t="s">
        <v>428</v>
      </c>
      <c r="AG181" t="s">
        <v>429</v>
      </c>
      <c r="AH181" t="s">
        <v>429</v>
      </c>
      <c r="AI181" t="s">
        <v>428</v>
      </c>
      <c r="AK181" t="s">
        <v>474</v>
      </c>
      <c r="AN181" t="s">
        <v>430</v>
      </c>
      <c r="AO181" t="s">
        <v>446</v>
      </c>
      <c r="AQ181">
        <v>1652697.42</v>
      </c>
      <c r="AR181">
        <v>1652697.42</v>
      </c>
      <c r="AS181">
        <v>0</v>
      </c>
      <c r="AT181">
        <v>1090</v>
      </c>
      <c r="AU181">
        <v>0</v>
      </c>
      <c r="AV181">
        <v>0</v>
      </c>
      <c r="AW181">
        <v>1090</v>
      </c>
      <c r="AX181">
        <v>0</v>
      </c>
      <c r="AY181">
        <v>0</v>
      </c>
      <c r="AZ181">
        <v>0</v>
      </c>
      <c r="BA181">
        <v>984</v>
      </c>
      <c r="BB181">
        <v>0</v>
      </c>
      <c r="BC181">
        <v>0</v>
      </c>
      <c r="BD181">
        <v>46065</v>
      </c>
      <c r="BE181">
        <v>46071</v>
      </c>
    </row>
    <row r="182" spans="1:57" ht="15.2" customHeight="1" x14ac:dyDescent="0.25">
      <c r="A182" t="s">
        <v>238</v>
      </c>
      <c r="B182" t="s">
        <v>893</v>
      </c>
      <c r="C182" t="s">
        <v>751</v>
      </c>
      <c r="D182" t="s">
        <v>518</v>
      </c>
      <c r="E182" t="s">
        <v>420</v>
      </c>
      <c r="F182" t="s">
        <v>519</v>
      </c>
      <c r="G182" t="s">
        <v>421</v>
      </c>
      <c r="H182" t="s">
        <v>503</v>
      </c>
      <c r="I182" t="s">
        <v>422</v>
      </c>
      <c r="L182" t="s">
        <v>492</v>
      </c>
      <c r="N182" t="s">
        <v>424</v>
      </c>
      <c r="P182" t="s">
        <v>425</v>
      </c>
      <c r="Q182" t="s">
        <v>89</v>
      </c>
      <c r="R182" t="s">
        <v>894</v>
      </c>
      <c r="T182" t="s">
        <v>507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 t="s">
        <v>428</v>
      </c>
      <c r="AG182" t="s">
        <v>429</v>
      </c>
      <c r="AH182" t="s">
        <v>429</v>
      </c>
      <c r="AI182" t="s">
        <v>429</v>
      </c>
      <c r="AJ182" t="s">
        <v>474</v>
      </c>
      <c r="AK182" t="s">
        <v>430</v>
      </c>
      <c r="AN182" t="s">
        <v>431</v>
      </c>
      <c r="AO182" t="s">
        <v>432</v>
      </c>
      <c r="AQ182">
        <v>0</v>
      </c>
      <c r="AR182">
        <v>0</v>
      </c>
      <c r="AS182">
        <v>63.836300000000001</v>
      </c>
      <c r="AT182">
        <v>108</v>
      </c>
      <c r="AU182">
        <v>28.7</v>
      </c>
      <c r="AV182">
        <v>59.364700000000006</v>
      </c>
      <c r="AW182">
        <v>93</v>
      </c>
      <c r="AX182">
        <v>23</v>
      </c>
      <c r="AY182">
        <v>0</v>
      </c>
      <c r="AZ182">
        <v>107.8</v>
      </c>
      <c r="BA182">
        <v>1300</v>
      </c>
      <c r="BB182">
        <v>90</v>
      </c>
      <c r="BC182">
        <v>0</v>
      </c>
      <c r="BD182">
        <v>46043</v>
      </c>
      <c r="BE182">
        <v>46056</v>
      </c>
    </row>
    <row r="183" spans="1:57" ht="15.2" customHeight="1" x14ac:dyDescent="0.25">
      <c r="A183" t="s">
        <v>895</v>
      </c>
      <c r="B183" t="s">
        <v>896</v>
      </c>
      <c r="C183" t="s">
        <v>634</v>
      </c>
      <c r="D183" t="s">
        <v>518</v>
      </c>
      <c r="E183" t="s">
        <v>420</v>
      </c>
      <c r="F183" t="s">
        <v>519</v>
      </c>
      <c r="G183" t="s">
        <v>421</v>
      </c>
      <c r="H183" t="s">
        <v>561</v>
      </c>
      <c r="I183" t="s">
        <v>422</v>
      </c>
      <c r="L183" t="s">
        <v>492</v>
      </c>
      <c r="N183" t="s">
        <v>424</v>
      </c>
      <c r="P183" t="s">
        <v>425</v>
      </c>
      <c r="Q183" t="s">
        <v>84</v>
      </c>
      <c r="R183" t="s">
        <v>897</v>
      </c>
      <c r="T183" t="s">
        <v>507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 t="s">
        <v>429</v>
      </c>
      <c r="AG183" t="s">
        <v>429</v>
      </c>
      <c r="AH183" t="s">
        <v>429</v>
      </c>
      <c r="AI183" t="s">
        <v>429</v>
      </c>
      <c r="AN183" t="s">
        <v>431</v>
      </c>
      <c r="AO183" t="s">
        <v>432</v>
      </c>
      <c r="AQ183">
        <v>0</v>
      </c>
      <c r="AR183">
        <v>0</v>
      </c>
      <c r="AS183">
        <v>13.056800000000001</v>
      </c>
      <c r="AT183">
        <v>210</v>
      </c>
      <c r="AU183">
        <v>92.5</v>
      </c>
      <c r="AV183">
        <v>13.056800000000001</v>
      </c>
      <c r="AW183">
        <v>210</v>
      </c>
      <c r="AX183">
        <v>92.5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46066</v>
      </c>
      <c r="BE183">
        <v>46091</v>
      </c>
    </row>
    <row r="184" spans="1:57" ht="15.2" customHeight="1" x14ac:dyDescent="0.25">
      <c r="A184" t="s">
        <v>898</v>
      </c>
      <c r="B184" t="s">
        <v>899</v>
      </c>
      <c r="C184" t="s">
        <v>603</v>
      </c>
      <c r="D184" t="s">
        <v>853</v>
      </c>
      <c r="E184" t="s">
        <v>420</v>
      </c>
      <c r="F184" t="s">
        <v>854</v>
      </c>
      <c r="G184" t="s">
        <v>855</v>
      </c>
      <c r="H184" t="s">
        <v>503</v>
      </c>
      <c r="L184" t="s">
        <v>492</v>
      </c>
      <c r="N184" t="s">
        <v>424</v>
      </c>
      <c r="P184" t="s">
        <v>425</v>
      </c>
      <c r="Q184" t="s">
        <v>315</v>
      </c>
      <c r="R184" t="s">
        <v>900</v>
      </c>
      <c r="T184" t="s">
        <v>571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 t="s">
        <v>428</v>
      </c>
      <c r="AG184" t="s">
        <v>429</v>
      </c>
      <c r="AH184" t="s">
        <v>429</v>
      </c>
      <c r="AI184" t="s">
        <v>429</v>
      </c>
      <c r="AJ184" t="s">
        <v>474</v>
      </c>
      <c r="AK184" t="s">
        <v>430</v>
      </c>
      <c r="AN184" t="s">
        <v>431</v>
      </c>
      <c r="AO184" t="s">
        <v>432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400</v>
      </c>
      <c r="AZ184">
        <v>0</v>
      </c>
      <c r="BA184">
        <v>0</v>
      </c>
      <c r="BB184">
        <v>0</v>
      </c>
      <c r="BC184">
        <v>400</v>
      </c>
      <c r="BD184">
        <v>46073</v>
      </c>
      <c r="BE184">
        <v>46081</v>
      </c>
    </row>
    <row r="185" spans="1:57" ht="15.2" customHeight="1" x14ac:dyDescent="0.25">
      <c r="A185" t="s">
        <v>901</v>
      </c>
      <c r="B185" t="s">
        <v>902</v>
      </c>
      <c r="C185" t="s">
        <v>603</v>
      </c>
      <c r="D185" t="s">
        <v>853</v>
      </c>
      <c r="E185" t="s">
        <v>420</v>
      </c>
      <c r="F185" t="s">
        <v>854</v>
      </c>
      <c r="G185" t="s">
        <v>855</v>
      </c>
      <c r="H185" t="s">
        <v>579</v>
      </c>
      <c r="I185" t="s">
        <v>422</v>
      </c>
      <c r="L185" t="s">
        <v>492</v>
      </c>
      <c r="N185" t="s">
        <v>424</v>
      </c>
      <c r="P185" t="s">
        <v>425</v>
      </c>
      <c r="Q185" t="s">
        <v>109</v>
      </c>
      <c r="R185" t="s">
        <v>645</v>
      </c>
      <c r="T185" t="s">
        <v>507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 t="s">
        <v>428</v>
      </c>
      <c r="AG185" t="s">
        <v>429</v>
      </c>
      <c r="AH185" t="s">
        <v>429</v>
      </c>
      <c r="AI185" t="s">
        <v>429</v>
      </c>
      <c r="AJ185" t="s">
        <v>474</v>
      </c>
      <c r="AK185" t="s">
        <v>430</v>
      </c>
      <c r="AN185" t="s">
        <v>431</v>
      </c>
      <c r="AO185" t="s">
        <v>432</v>
      </c>
      <c r="AQ185">
        <v>0</v>
      </c>
      <c r="AR185">
        <v>0</v>
      </c>
      <c r="AS185">
        <v>4.0089000000000006</v>
      </c>
      <c r="AT185">
        <v>7</v>
      </c>
      <c r="AU185">
        <v>31</v>
      </c>
      <c r="AV185">
        <v>4.0089000000000006</v>
      </c>
      <c r="AW185">
        <v>7</v>
      </c>
      <c r="AX185">
        <v>31</v>
      </c>
      <c r="AY185">
        <v>0</v>
      </c>
      <c r="AZ185">
        <v>4.0089000000000006</v>
      </c>
      <c r="BA185">
        <v>7</v>
      </c>
      <c r="BB185">
        <v>31</v>
      </c>
      <c r="BC185">
        <v>0</v>
      </c>
      <c r="BD185">
        <v>46068</v>
      </c>
      <c r="BE185">
        <v>46073</v>
      </c>
    </row>
    <row r="186" spans="1:57" ht="15.2" customHeight="1" x14ac:dyDescent="0.25">
      <c r="A186" t="s">
        <v>265</v>
      </c>
      <c r="B186" t="s">
        <v>903</v>
      </c>
      <c r="C186" t="s">
        <v>500</v>
      </c>
      <c r="D186" t="s">
        <v>518</v>
      </c>
      <c r="E186" t="s">
        <v>420</v>
      </c>
      <c r="F186" t="s">
        <v>519</v>
      </c>
      <c r="G186" t="s">
        <v>421</v>
      </c>
      <c r="H186" t="s">
        <v>544</v>
      </c>
      <c r="I186" t="s">
        <v>422</v>
      </c>
      <c r="L186" t="s">
        <v>492</v>
      </c>
      <c r="N186" t="s">
        <v>520</v>
      </c>
      <c r="O186" t="s">
        <v>531</v>
      </c>
      <c r="P186" t="s">
        <v>425</v>
      </c>
      <c r="Q186" t="s">
        <v>92</v>
      </c>
      <c r="R186" t="s">
        <v>904</v>
      </c>
      <c r="S186" t="s">
        <v>422</v>
      </c>
      <c r="T186" t="s">
        <v>507</v>
      </c>
      <c r="W186">
        <v>46060.875</v>
      </c>
      <c r="X186">
        <v>0</v>
      </c>
      <c r="Y186">
        <v>45985</v>
      </c>
      <c r="Z186">
        <v>26</v>
      </c>
      <c r="AA186">
        <v>24.27</v>
      </c>
      <c r="AB186">
        <v>94.62</v>
      </c>
      <c r="AC186">
        <v>13.200000000000001</v>
      </c>
      <c r="AD186">
        <v>13.200000000000001</v>
      </c>
      <c r="AE186">
        <v>11.07</v>
      </c>
      <c r="AF186" t="s">
        <v>428</v>
      </c>
      <c r="AG186" t="s">
        <v>429</v>
      </c>
      <c r="AH186" t="s">
        <v>429</v>
      </c>
      <c r="AI186" t="s">
        <v>428</v>
      </c>
      <c r="AJ186" t="s">
        <v>430</v>
      </c>
      <c r="AK186" t="s">
        <v>430</v>
      </c>
      <c r="AN186" t="s">
        <v>430</v>
      </c>
      <c r="AO186" t="s">
        <v>446</v>
      </c>
      <c r="AQ186">
        <v>2721193.47</v>
      </c>
      <c r="AR186">
        <v>2721193.47</v>
      </c>
      <c r="AS186">
        <v>13.264000000000001</v>
      </c>
      <c r="AT186">
        <v>20</v>
      </c>
      <c r="AU186">
        <v>20</v>
      </c>
      <c r="AV186">
        <v>13.264000000000001</v>
      </c>
      <c r="AW186">
        <v>20</v>
      </c>
      <c r="AX186">
        <v>20</v>
      </c>
      <c r="AY186">
        <v>0</v>
      </c>
      <c r="AZ186">
        <v>26.900000000000002</v>
      </c>
      <c r="BA186">
        <v>40.5</v>
      </c>
      <c r="BB186">
        <v>20</v>
      </c>
      <c r="BC186">
        <v>0</v>
      </c>
      <c r="BD186">
        <v>46062</v>
      </c>
      <c r="BE186">
        <v>46076</v>
      </c>
    </row>
    <row r="187" spans="1:57" ht="15.2" customHeight="1" x14ac:dyDescent="0.25">
      <c r="A187" t="s">
        <v>265</v>
      </c>
      <c r="B187" t="s">
        <v>903</v>
      </c>
      <c r="C187" t="s">
        <v>500</v>
      </c>
      <c r="D187" t="s">
        <v>518</v>
      </c>
      <c r="E187" t="s">
        <v>420</v>
      </c>
      <c r="F187" t="s">
        <v>519</v>
      </c>
      <c r="G187" t="s">
        <v>421</v>
      </c>
      <c r="H187" t="s">
        <v>544</v>
      </c>
      <c r="I187" t="s">
        <v>422</v>
      </c>
      <c r="L187" t="s">
        <v>492</v>
      </c>
      <c r="N187" t="s">
        <v>520</v>
      </c>
      <c r="P187" t="s">
        <v>425</v>
      </c>
      <c r="Q187" t="s">
        <v>92</v>
      </c>
      <c r="R187" t="s">
        <v>905</v>
      </c>
      <c r="T187" t="s">
        <v>507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429</v>
      </c>
      <c r="AG187" t="s">
        <v>429</v>
      </c>
      <c r="AH187" t="s">
        <v>429</v>
      </c>
      <c r="AI187" t="s">
        <v>429</v>
      </c>
      <c r="AN187" t="s">
        <v>431</v>
      </c>
      <c r="AO187" t="s">
        <v>432</v>
      </c>
      <c r="AQ187">
        <v>0</v>
      </c>
      <c r="AR187">
        <v>0</v>
      </c>
      <c r="AS187">
        <v>13.264000000000001</v>
      </c>
      <c r="AT187">
        <v>20</v>
      </c>
      <c r="AU187">
        <v>20</v>
      </c>
      <c r="AV187">
        <v>13.264000000000001</v>
      </c>
      <c r="AW187">
        <v>20</v>
      </c>
      <c r="AX187">
        <v>20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46059</v>
      </c>
      <c r="BE187">
        <v>46078</v>
      </c>
    </row>
    <row r="188" spans="1:57" ht="15.2" customHeight="1" x14ac:dyDescent="0.25">
      <c r="A188" t="s">
        <v>906</v>
      </c>
      <c r="B188" t="s">
        <v>907</v>
      </c>
      <c r="C188" t="s">
        <v>592</v>
      </c>
      <c r="D188" t="s">
        <v>518</v>
      </c>
      <c r="E188" t="s">
        <v>420</v>
      </c>
      <c r="F188" t="s">
        <v>519</v>
      </c>
      <c r="G188" t="s">
        <v>421</v>
      </c>
      <c r="H188" t="s">
        <v>503</v>
      </c>
      <c r="I188" t="s">
        <v>422</v>
      </c>
      <c r="L188" t="s">
        <v>492</v>
      </c>
      <c r="N188" t="s">
        <v>520</v>
      </c>
      <c r="O188" t="s">
        <v>517</v>
      </c>
      <c r="P188" t="s">
        <v>425</v>
      </c>
      <c r="Q188" t="s">
        <v>157</v>
      </c>
      <c r="R188" t="s">
        <v>908</v>
      </c>
      <c r="S188" t="s">
        <v>422</v>
      </c>
      <c r="T188" t="s">
        <v>507</v>
      </c>
      <c r="W188">
        <v>46055.25</v>
      </c>
      <c r="X188">
        <v>46066.875</v>
      </c>
      <c r="Y188">
        <v>45406</v>
      </c>
      <c r="Z188">
        <v>279</v>
      </c>
      <c r="AA188">
        <v>260.39999999999998</v>
      </c>
      <c r="AB188">
        <v>242.56</v>
      </c>
      <c r="AC188">
        <v>6</v>
      </c>
      <c r="AD188">
        <v>15.200000000000001</v>
      </c>
      <c r="AE188">
        <v>245.20000000000002</v>
      </c>
      <c r="AF188" t="s">
        <v>428</v>
      </c>
      <c r="AG188" t="s">
        <v>429</v>
      </c>
      <c r="AH188" t="s">
        <v>429</v>
      </c>
      <c r="AI188" t="s">
        <v>428</v>
      </c>
      <c r="AJ188" t="s">
        <v>430</v>
      </c>
      <c r="AK188" t="s">
        <v>430</v>
      </c>
      <c r="AN188" t="s">
        <v>445</v>
      </c>
      <c r="AO188" t="s">
        <v>446</v>
      </c>
      <c r="AQ188">
        <v>6975032.5899999999</v>
      </c>
      <c r="AR188">
        <v>6975032.5899999999</v>
      </c>
      <c r="AS188">
        <v>28.623700000000003</v>
      </c>
      <c r="AT188">
        <v>208</v>
      </c>
      <c r="AU188">
        <v>83.4</v>
      </c>
      <c r="AV188">
        <v>28.623700000000003</v>
      </c>
      <c r="AW188">
        <v>208</v>
      </c>
      <c r="AX188">
        <v>83.4</v>
      </c>
      <c r="AY188">
        <v>0</v>
      </c>
      <c r="AZ188">
        <v>60</v>
      </c>
      <c r="BA188">
        <v>335.7</v>
      </c>
      <c r="BB188">
        <v>78.600000000000009</v>
      </c>
      <c r="BC188">
        <v>0</v>
      </c>
      <c r="BD188">
        <v>46054</v>
      </c>
      <c r="BE188">
        <v>46070</v>
      </c>
    </row>
    <row r="189" spans="1:57" ht="15.2" customHeight="1" x14ac:dyDescent="0.25">
      <c r="A189" t="s">
        <v>128</v>
      </c>
      <c r="B189" t="s">
        <v>909</v>
      </c>
      <c r="C189" t="s">
        <v>654</v>
      </c>
      <c r="D189" t="s">
        <v>910</v>
      </c>
      <c r="E189" t="s">
        <v>420</v>
      </c>
      <c r="F189" t="s">
        <v>911</v>
      </c>
      <c r="G189" t="s">
        <v>421</v>
      </c>
      <c r="H189" t="s">
        <v>491</v>
      </c>
      <c r="I189" t="s">
        <v>471</v>
      </c>
      <c r="L189" t="s">
        <v>580</v>
      </c>
      <c r="N189" t="s">
        <v>520</v>
      </c>
      <c r="P189" t="s">
        <v>440</v>
      </c>
      <c r="Q189" t="s">
        <v>51</v>
      </c>
      <c r="R189" t="s">
        <v>912</v>
      </c>
      <c r="T189" t="s">
        <v>582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 t="s">
        <v>428</v>
      </c>
      <c r="AG189" t="s">
        <v>429</v>
      </c>
      <c r="AH189" t="s">
        <v>429</v>
      </c>
      <c r="AI189" t="s">
        <v>429</v>
      </c>
      <c r="AK189" t="s">
        <v>430</v>
      </c>
      <c r="AN189" t="s">
        <v>431</v>
      </c>
      <c r="AO189" t="s">
        <v>432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46068</v>
      </c>
      <c r="BE189">
        <v>46078</v>
      </c>
    </row>
    <row r="190" spans="1:57" ht="15.2" customHeight="1" x14ac:dyDescent="0.25">
      <c r="A190" t="s">
        <v>172</v>
      </c>
      <c r="B190" t="s">
        <v>913</v>
      </c>
      <c r="C190" t="s">
        <v>654</v>
      </c>
      <c r="D190" t="s">
        <v>489</v>
      </c>
      <c r="E190" t="s">
        <v>420</v>
      </c>
      <c r="F190" t="s">
        <v>914</v>
      </c>
      <c r="G190" t="s">
        <v>469</v>
      </c>
      <c r="H190" t="s">
        <v>561</v>
      </c>
      <c r="L190" t="s">
        <v>492</v>
      </c>
      <c r="N190" t="s">
        <v>424</v>
      </c>
      <c r="O190" t="s">
        <v>608</v>
      </c>
      <c r="P190" t="s">
        <v>440</v>
      </c>
      <c r="Q190" t="s">
        <v>49</v>
      </c>
      <c r="R190" t="s">
        <v>915</v>
      </c>
      <c r="T190" t="s">
        <v>916</v>
      </c>
      <c r="W190">
        <v>46070.479166666664</v>
      </c>
      <c r="X190">
        <v>46070.75</v>
      </c>
      <c r="Y190">
        <v>0</v>
      </c>
      <c r="Z190">
        <v>6.5</v>
      </c>
      <c r="AA190">
        <v>5.96</v>
      </c>
      <c r="AB190">
        <v>0</v>
      </c>
      <c r="AC190">
        <v>0</v>
      </c>
      <c r="AD190">
        <v>0</v>
      </c>
      <c r="AE190">
        <v>5.96</v>
      </c>
      <c r="AF190" t="s">
        <v>428</v>
      </c>
      <c r="AG190" t="s">
        <v>429</v>
      </c>
      <c r="AH190" t="s">
        <v>429</v>
      </c>
      <c r="AI190" t="s">
        <v>429</v>
      </c>
      <c r="AK190" t="s">
        <v>474</v>
      </c>
      <c r="AN190" t="s">
        <v>431</v>
      </c>
      <c r="AO190" t="s">
        <v>432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46070</v>
      </c>
      <c r="BE190">
        <v>46071</v>
      </c>
    </row>
    <row r="191" spans="1:57" ht="15.2" customHeight="1" x14ac:dyDescent="0.25">
      <c r="A191" t="s">
        <v>172</v>
      </c>
      <c r="B191" t="s">
        <v>913</v>
      </c>
      <c r="C191" t="s">
        <v>654</v>
      </c>
      <c r="D191" t="s">
        <v>489</v>
      </c>
      <c r="E191" t="s">
        <v>420</v>
      </c>
      <c r="F191" t="s">
        <v>914</v>
      </c>
      <c r="G191" t="s">
        <v>469</v>
      </c>
      <c r="H191" t="s">
        <v>561</v>
      </c>
      <c r="L191" t="s">
        <v>492</v>
      </c>
      <c r="N191" t="s">
        <v>424</v>
      </c>
      <c r="O191" t="s">
        <v>608</v>
      </c>
      <c r="P191" t="s">
        <v>440</v>
      </c>
      <c r="Q191" t="s">
        <v>456</v>
      </c>
      <c r="R191" t="s">
        <v>917</v>
      </c>
      <c r="T191" t="s">
        <v>916</v>
      </c>
      <c r="W191">
        <v>46064.999305555553</v>
      </c>
      <c r="X191">
        <v>46065.375</v>
      </c>
      <c r="Y191">
        <v>45922</v>
      </c>
      <c r="Z191">
        <v>9.02</v>
      </c>
      <c r="AA191">
        <v>8.27</v>
      </c>
      <c r="AB191">
        <v>0</v>
      </c>
      <c r="AC191">
        <v>0</v>
      </c>
      <c r="AD191">
        <v>0</v>
      </c>
      <c r="AE191">
        <v>8.27</v>
      </c>
      <c r="AF191" t="s">
        <v>429</v>
      </c>
      <c r="AG191" t="s">
        <v>429</v>
      </c>
      <c r="AH191" t="s">
        <v>429</v>
      </c>
      <c r="AI191" t="s">
        <v>429</v>
      </c>
      <c r="AN191" t="s">
        <v>431</v>
      </c>
      <c r="AO191" t="s">
        <v>432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46064</v>
      </c>
      <c r="BE191">
        <v>46066</v>
      </c>
    </row>
    <row r="192" spans="1:57" ht="15.2" customHeight="1" x14ac:dyDescent="0.25">
      <c r="A192" t="s">
        <v>172</v>
      </c>
      <c r="B192" t="s">
        <v>913</v>
      </c>
      <c r="C192" t="s">
        <v>654</v>
      </c>
      <c r="D192" t="s">
        <v>489</v>
      </c>
      <c r="E192" t="s">
        <v>420</v>
      </c>
      <c r="F192" t="s">
        <v>914</v>
      </c>
      <c r="G192" t="s">
        <v>469</v>
      </c>
      <c r="H192" t="s">
        <v>561</v>
      </c>
      <c r="L192" t="s">
        <v>492</v>
      </c>
      <c r="N192" t="s">
        <v>424</v>
      </c>
      <c r="O192" t="s">
        <v>608</v>
      </c>
      <c r="P192" t="s">
        <v>440</v>
      </c>
      <c r="Q192" t="s">
        <v>456</v>
      </c>
      <c r="R192" t="s">
        <v>918</v>
      </c>
      <c r="T192" t="s">
        <v>916</v>
      </c>
      <c r="W192">
        <v>46054.520833333336</v>
      </c>
      <c r="X192">
        <v>46055.041666666664</v>
      </c>
      <c r="Y192">
        <v>45922</v>
      </c>
      <c r="Z192">
        <v>12.5</v>
      </c>
      <c r="AA192">
        <v>11.46</v>
      </c>
      <c r="AB192">
        <v>0</v>
      </c>
      <c r="AC192">
        <v>0</v>
      </c>
      <c r="AD192">
        <v>0</v>
      </c>
      <c r="AE192">
        <v>11.46</v>
      </c>
      <c r="AF192" t="s">
        <v>429</v>
      </c>
      <c r="AG192" t="s">
        <v>429</v>
      </c>
      <c r="AH192" t="s">
        <v>429</v>
      </c>
      <c r="AI192" t="s">
        <v>429</v>
      </c>
      <c r="AN192" t="s">
        <v>431</v>
      </c>
      <c r="AO192" t="s">
        <v>432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46054</v>
      </c>
      <c r="BE192">
        <v>46057</v>
      </c>
    </row>
    <row r="193" spans="1:57" ht="15.2" customHeight="1" x14ac:dyDescent="0.25">
      <c r="A193" t="s">
        <v>172</v>
      </c>
      <c r="B193" t="s">
        <v>913</v>
      </c>
      <c r="C193" t="s">
        <v>654</v>
      </c>
      <c r="D193" t="s">
        <v>489</v>
      </c>
      <c r="E193" t="s">
        <v>420</v>
      </c>
      <c r="F193" t="s">
        <v>914</v>
      </c>
      <c r="G193" t="s">
        <v>469</v>
      </c>
      <c r="H193" t="s">
        <v>561</v>
      </c>
      <c r="L193" t="s">
        <v>492</v>
      </c>
      <c r="N193" t="s">
        <v>424</v>
      </c>
      <c r="O193" t="s">
        <v>493</v>
      </c>
      <c r="P193" t="s">
        <v>440</v>
      </c>
      <c r="Q193" t="s">
        <v>49</v>
      </c>
      <c r="R193" t="s">
        <v>919</v>
      </c>
      <c r="T193" t="s">
        <v>916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 t="s">
        <v>428</v>
      </c>
      <c r="AG193" t="s">
        <v>429</v>
      </c>
      <c r="AH193" t="s">
        <v>429</v>
      </c>
      <c r="AI193" t="s">
        <v>429</v>
      </c>
      <c r="AK193" t="s">
        <v>474</v>
      </c>
      <c r="AN193" t="s">
        <v>431</v>
      </c>
      <c r="AO193" t="s">
        <v>432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46068</v>
      </c>
      <c r="BE193">
        <v>46069</v>
      </c>
    </row>
    <row r="194" spans="1:57" ht="15.2" customHeight="1" x14ac:dyDescent="0.25">
      <c r="A194" t="s">
        <v>172</v>
      </c>
      <c r="B194" t="s">
        <v>913</v>
      </c>
      <c r="C194" t="s">
        <v>654</v>
      </c>
      <c r="D194" t="s">
        <v>489</v>
      </c>
      <c r="E194" t="s">
        <v>420</v>
      </c>
      <c r="F194" t="s">
        <v>914</v>
      </c>
      <c r="G194" t="s">
        <v>469</v>
      </c>
      <c r="H194" t="s">
        <v>561</v>
      </c>
      <c r="L194" t="s">
        <v>492</v>
      </c>
      <c r="N194" t="s">
        <v>424</v>
      </c>
      <c r="O194" t="s">
        <v>493</v>
      </c>
      <c r="P194" t="s">
        <v>440</v>
      </c>
      <c r="Q194" t="s">
        <v>49</v>
      </c>
      <c r="R194" t="s">
        <v>920</v>
      </c>
      <c r="T194" t="s">
        <v>916</v>
      </c>
      <c r="W194">
        <v>46067.541666666664</v>
      </c>
      <c r="X194">
        <v>46067.833333333336</v>
      </c>
      <c r="Y194">
        <v>0</v>
      </c>
      <c r="Z194">
        <v>7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428</v>
      </c>
      <c r="AG194" t="s">
        <v>429</v>
      </c>
      <c r="AH194" t="s">
        <v>429</v>
      </c>
      <c r="AI194" t="s">
        <v>429</v>
      </c>
      <c r="AK194" t="s">
        <v>474</v>
      </c>
      <c r="AN194" t="s">
        <v>431</v>
      </c>
      <c r="AO194" t="s">
        <v>432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46067</v>
      </c>
      <c r="BE194">
        <v>46069</v>
      </c>
    </row>
    <row r="195" spans="1:57" ht="15.2" customHeight="1" x14ac:dyDescent="0.25">
      <c r="A195" t="s">
        <v>172</v>
      </c>
      <c r="B195" t="s">
        <v>913</v>
      </c>
      <c r="C195" t="s">
        <v>654</v>
      </c>
      <c r="D195" t="s">
        <v>489</v>
      </c>
      <c r="E195" t="s">
        <v>420</v>
      </c>
      <c r="F195" t="s">
        <v>914</v>
      </c>
      <c r="G195" t="s">
        <v>469</v>
      </c>
      <c r="H195" t="s">
        <v>561</v>
      </c>
      <c r="L195" t="s">
        <v>492</v>
      </c>
      <c r="N195" t="s">
        <v>424</v>
      </c>
      <c r="O195" t="s">
        <v>608</v>
      </c>
      <c r="P195" t="s">
        <v>440</v>
      </c>
      <c r="Q195" t="s">
        <v>456</v>
      </c>
      <c r="R195" t="s">
        <v>918</v>
      </c>
      <c r="T195" t="s">
        <v>916</v>
      </c>
      <c r="W195">
        <v>46056.375</v>
      </c>
      <c r="X195">
        <v>46056.791666666664</v>
      </c>
      <c r="Y195">
        <v>45922</v>
      </c>
      <c r="Z195">
        <v>10</v>
      </c>
      <c r="AA195">
        <v>9.17</v>
      </c>
      <c r="AB195">
        <v>0</v>
      </c>
      <c r="AC195">
        <v>0</v>
      </c>
      <c r="AD195">
        <v>0</v>
      </c>
      <c r="AE195">
        <v>9.17</v>
      </c>
      <c r="AF195" t="s">
        <v>429</v>
      </c>
      <c r="AG195" t="s">
        <v>429</v>
      </c>
      <c r="AH195" t="s">
        <v>429</v>
      </c>
      <c r="AI195" t="s">
        <v>429</v>
      </c>
      <c r="AN195" t="s">
        <v>431</v>
      </c>
      <c r="AO195" t="s">
        <v>432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46056</v>
      </c>
      <c r="BE195">
        <v>46059</v>
      </c>
    </row>
    <row r="196" spans="1:57" ht="15.2" customHeight="1" x14ac:dyDescent="0.25">
      <c r="A196" t="s">
        <v>172</v>
      </c>
      <c r="B196" t="s">
        <v>913</v>
      </c>
      <c r="C196" t="s">
        <v>654</v>
      </c>
      <c r="D196" t="s">
        <v>489</v>
      </c>
      <c r="E196" t="s">
        <v>420</v>
      </c>
      <c r="F196" t="s">
        <v>914</v>
      </c>
      <c r="G196" t="s">
        <v>469</v>
      </c>
      <c r="L196" t="s">
        <v>492</v>
      </c>
      <c r="N196" t="s">
        <v>424</v>
      </c>
      <c r="P196" t="s">
        <v>440</v>
      </c>
      <c r="Q196" t="s">
        <v>49</v>
      </c>
      <c r="R196" t="s">
        <v>921</v>
      </c>
      <c r="T196" t="s">
        <v>916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428</v>
      </c>
      <c r="AG196" t="s">
        <v>429</v>
      </c>
      <c r="AH196" t="s">
        <v>429</v>
      </c>
      <c r="AI196" t="s">
        <v>429</v>
      </c>
      <c r="AK196" t="s">
        <v>485</v>
      </c>
      <c r="AN196" t="s">
        <v>431</v>
      </c>
      <c r="AO196" t="s">
        <v>432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46070</v>
      </c>
      <c r="BE196">
        <v>46071</v>
      </c>
    </row>
    <row r="197" spans="1:57" ht="15.2" customHeight="1" x14ac:dyDescent="0.25">
      <c r="A197" t="s">
        <v>172</v>
      </c>
      <c r="B197" t="s">
        <v>913</v>
      </c>
      <c r="C197" t="s">
        <v>654</v>
      </c>
      <c r="D197" t="s">
        <v>489</v>
      </c>
      <c r="E197" t="s">
        <v>420</v>
      </c>
      <c r="F197" t="s">
        <v>914</v>
      </c>
      <c r="G197" t="s">
        <v>469</v>
      </c>
      <c r="H197" t="s">
        <v>561</v>
      </c>
      <c r="I197" t="s">
        <v>422</v>
      </c>
      <c r="L197" t="s">
        <v>492</v>
      </c>
      <c r="N197" t="s">
        <v>424</v>
      </c>
      <c r="O197" t="s">
        <v>608</v>
      </c>
      <c r="P197" t="s">
        <v>440</v>
      </c>
      <c r="Q197" t="s">
        <v>53</v>
      </c>
      <c r="R197" t="s">
        <v>922</v>
      </c>
      <c r="T197" t="s">
        <v>427</v>
      </c>
      <c r="W197">
        <v>46066.666666666664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 t="s">
        <v>428</v>
      </c>
      <c r="AG197" t="s">
        <v>429</v>
      </c>
      <c r="AH197" t="s">
        <v>429</v>
      </c>
      <c r="AI197" t="s">
        <v>429</v>
      </c>
      <c r="AK197" t="s">
        <v>474</v>
      </c>
      <c r="AN197" t="s">
        <v>431</v>
      </c>
      <c r="AO197" t="s">
        <v>432</v>
      </c>
      <c r="AQ197">
        <v>0</v>
      </c>
      <c r="AR197">
        <v>0</v>
      </c>
      <c r="AS197">
        <v>0</v>
      </c>
      <c r="AT197">
        <v>958</v>
      </c>
      <c r="AU197">
        <v>0</v>
      </c>
      <c r="AV197">
        <v>0</v>
      </c>
      <c r="AW197">
        <v>958</v>
      </c>
      <c r="AX197">
        <v>0</v>
      </c>
      <c r="AY197">
        <v>0</v>
      </c>
      <c r="AZ197">
        <v>0</v>
      </c>
      <c r="BA197">
        <v>958</v>
      </c>
      <c r="BB197">
        <v>0</v>
      </c>
      <c r="BC197">
        <v>0</v>
      </c>
      <c r="BD197">
        <v>46066</v>
      </c>
      <c r="BE197">
        <v>46067</v>
      </c>
    </row>
    <row r="198" spans="1:57" ht="15.2" customHeight="1" x14ac:dyDescent="0.25">
      <c r="A198" t="s">
        <v>115</v>
      </c>
      <c r="B198" t="s">
        <v>923</v>
      </c>
      <c r="C198" t="s">
        <v>924</v>
      </c>
      <c r="D198" t="s">
        <v>489</v>
      </c>
      <c r="E198" t="s">
        <v>420</v>
      </c>
      <c r="F198" t="s">
        <v>490</v>
      </c>
      <c r="G198" t="s">
        <v>469</v>
      </c>
      <c r="H198" t="s">
        <v>561</v>
      </c>
      <c r="I198" t="s">
        <v>422</v>
      </c>
      <c r="L198" t="s">
        <v>492</v>
      </c>
      <c r="N198" t="s">
        <v>424</v>
      </c>
      <c r="O198" t="s">
        <v>38</v>
      </c>
      <c r="P198" t="s">
        <v>425</v>
      </c>
      <c r="Q198" t="s">
        <v>92</v>
      </c>
      <c r="R198" t="s">
        <v>925</v>
      </c>
      <c r="S198" t="s">
        <v>422</v>
      </c>
      <c r="T198" t="s">
        <v>507</v>
      </c>
      <c r="W198">
        <v>46011.333333333336</v>
      </c>
      <c r="X198">
        <v>0</v>
      </c>
      <c r="Z198">
        <v>0</v>
      </c>
      <c r="AA198">
        <v>0</v>
      </c>
      <c r="AB198">
        <v>1489.09</v>
      </c>
      <c r="AC198">
        <v>0</v>
      </c>
      <c r="AD198">
        <v>0</v>
      </c>
      <c r="AE198">
        <v>0</v>
      </c>
      <c r="AF198" t="s">
        <v>428</v>
      </c>
      <c r="AG198" t="s">
        <v>429</v>
      </c>
      <c r="AH198" t="s">
        <v>429</v>
      </c>
      <c r="AI198" t="s">
        <v>428</v>
      </c>
      <c r="AJ198" t="s">
        <v>485</v>
      </c>
      <c r="AK198" t="s">
        <v>430</v>
      </c>
      <c r="AN198" t="s">
        <v>498</v>
      </c>
      <c r="AO198" t="s">
        <v>446</v>
      </c>
      <c r="AQ198">
        <v>32611551.66</v>
      </c>
      <c r="AR198">
        <v>32611551.66</v>
      </c>
      <c r="AS198">
        <v>30.466800000000003</v>
      </c>
      <c r="AT198">
        <v>120</v>
      </c>
      <c r="AU198">
        <v>69</v>
      </c>
      <c r="AV198">
        <v>30.466800000000003</v>
      </c>
      <c r="AW198">
        <v>120</v>
      </c>
      <c r="AX198">
        <v>69</v>
      </c>
      <c r="AY198">
        <v>0</v>
      </c>
      <c r="AZ198">
        <v>30.466800000000003</v>
      </c>
      <c r="BA198">
        <v>120</v>
      </c>
      <c r="BB198">
        <v>69</v>
      </c>
      <c r="BC198">
        <v>0</v>
      </c>
      <c r="BD198">
        <v>46010</v>
      </c>
      <c r="BE198">
        <v>46081</v>
      </c>
    </row>
    <row r="199" spans="1:57" ht="15.2" customHeight="1" x14ac:dyDescent="0.25">
      <c r="A199" t="s">
        <v>264</v>
      </c>
      <c r="B199" t="s">
        <v>926</v>
      </c>
      <c r="C199" t="s">
        <v>924</v>
      </c>
      <c r="D199" t="s">
        <v>489</v>
      </c>
      <c r="E199" t="s">
        <v>420</v>
      </c>
      <c r="F199" t="s">
        <v>622</v>
      </c>
      <c r="G199" t="s">
        <v>469</v>
      </c>
      <c r="H199" t="s">
        <v>544</v>
      </c>
      <c r="I199" t="s">
        <v>422</v>
      </c>
      <c r="L199" t="s">
        <v>492</v>
      </c>
      <c r="N199" t="s">
        <v>424</v>
      </c>
      <c r="O199" t="s">
        <v>39</v>
      </c>
      <c r="P199" t="s">
        <v>425</v>
      </c>
      <c r="Q199" t="s">
        <v>157</v>
      </c>
      <c r="R199" t="s">
        <v>927</v>
      </c>
      <c r="S199" t="s">
        <v>422</v>
      </c>
      <c r="T199" t="s">
        <v>507</v>
      </c>
      <c r="W199">
        <v>46055.5</v>
      </c>
      <c r="X199">
        <v>0</v>
      </c>
      <c r="Z199">
        <v>0</v>
      </c>
      <c r="AA199">
        <v>0</v>
      </c>
      <c r="AB199">
        <v>319.99</v>
      </c>
      <c r="AC199">
        <v>0</v>
      </c>
      <c r="AD199">
        <v>0</v>
      </c>
      <c r="AE199">
        <v>0</v>
      </c>
      <c r="AF199" t="s">
        <v>428</v>
      </c>
      <c r="AG199" t="s">
        <v>429</v>
      </c>
      <c r="AH199" t="s">
        <v>429</v>
      </c>
      <c r="AI199" t="s">
        <v>428</v>
      </c>
      <c r="AJ199" t="s">
        <v>474</v>
      </c>
      <c r="AK199" t="s">
        <v>474</v>
      </c>
      <c r="AN199" t="s">
        <v>430</v>
      </c>
      <c r="AO199" t="s">
        <v>446</v>
      </c>
      <c r="AQ199">
        <v>5947547.0300000003</v>
      </c>
      <c r="AR199">
        <v>5947547.0300000003</v>
      </c>
      <c r="AS199">
        <v>118.08340000000001</v>
      </c>
      <c r="AT199">
        <v>534</v>
      </c>
      <c r="AU199">
        <v>73</v>
      </c>
      <c r="AV199">
        <v>118.08340000000001</v>
      </c>
      <c r="AW199">
        <v>534</v>
      </c>
      <c r="AX199">
        <v>73</v>
      </c>
      <c r="AY199">
        <v>0</v>
      </c>
      <c r="AZ199">
        <v>120</v>
      </c>
      <c r="BA199">
        <v>635</v>
      </c>
      <c r="BB199">
        <v>73</v>
      </c>
      <c r="BC199">
        <v>0</v>
      </c>
      <c r="BD199">
        <v>46065</v>
      </c>
      <c r="BE199">
        <v>46079</v>
      </c>
    </row>
    <row r="200" spans="1:57" ht="15.2" customHeight="1" x14ac:dyDescent="0.25">
      <c r="A200" t="s">
        <v>264</v>
      </c>
      <c r="B200" t="s">
        <v>926</v>
      </c>
      <c r="C200" t="s">
        <v>924</v>
      </c>
      <c r="D200" t="s">
        <v>489</v>
      </c>
      <c r="E200" t="s">
        <v>420</v>
      </c>
      <c r="F200" t="s">
        <v>622</v>
      </c>
      <c r="G200" t="s">
        <v>469</v>
      </c>
      <c r="H200" t="s">
        <v>544</v>
      </c>
      <c r="I200" t="s">
        <v>422</v>
      </c>
      <c r="L200" t="s">
        <v>492</v>
      </c>
      <c r="N200" t="s">
        <v>424</v>
      </c>
      <c r="O200" t="s">
        <v>39</v>
      </c>
      <c r="P200" t="s">
        <v>440</v>
      </c>
      <c r="Q200" t="s">
        <v>51</v>
      </c>
      <c r="R200" t="s">
        <v>928</v>
      </c>
      <c r="S200" t="s">
        <v>422</v>
      </c>
      <c r="T200" t="s">
        <v>507</v>
      </c>
      <c r="W200">
        <v>0</v>
      </c>
      <c r="X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 t="s">
        <v>428</v>
      </c>
      <c r="AG200" t="s">
        <v>429</v>
      </c>
      <c r="AH200" t="s">
        <v>428</v>
      </c>
      <c r="AI200" t="s">
        <v>429</v>
      </c>
      <c r="AK200" t="s">
        <v>430</v>
      </c>
      <c r="AM200" t="s">
        <v>485</v>
      </c>
      <c r="AN200" t="s">
        <v>431</v>
      </c>
      <c r="AO200" t="s">
        <v>432</v>
      </c>
      <c r="AQ200">
        <v>0</v>
      </c>
      <c r="AR200">
        <v>0</v>
      </c>
      <c r="AS200">
        <v>118.08340000000001</v>
      </c>
      <c r="AT200">
        <v>534</v>
      </c>
      <c r="AU200">
        <v>73</v>
      </c>
      <c r="AV200">
        <v>118.08340000000001</v>
      </c>
      <c r="AW200">
        <v>534</v>
      </c>
      <c r="AX200">
        <v>73</v>
      </c>
      <c r="AY200">
        <v>0</v>
      </c>
      <c r="AZ200">
        <v>118.08340000000001</v>
      </c>
      <c r="BA200">
        <v>534</v>
      </c>
      <c r="BB200">
        <v>73</v>
      </c>
      <c r="BC200">
        <v>0</v>
      </c>
      <c r="BD200">
        <v>46052</v>
      </c>
      <c r="BE200">
        <v>46065</v>
      </c>
    </row>
    <row r="201" spans="1:57" ht="15.2" customHeight="1" x14ac:dyDescent="0.25">
      <c r="A201" t="s">
        <v>929</v>
      </c>
      <c r="B201" t="s">
        <v>930</v>
      </c>
      <c r="C201" t="s">
        <v>603</v>
      </c>
      <c r="D201" t="s">
        <v>518</v>
      </c>
      <c r="E201" t="s">
        <v>420</v>
      </c>
      <c r="F201" t="s">
        <v>519</v>
      </c>
      <c r="G201" t="s">
        <v>421</v>
      </c>
      <c r="I201" t="s">
        <v>422</v>
      </c>
      <c r="L201" t="s">
        <v>492</v>
      </c>
      <c r="N201" t="s">
        <v>424</v>
      </c>
      <c r="O201" t="s">
        <v>513</v>
      </c>
      <c r="P201" t="s">
        <v>425</v>
      </c>
      <c r="Q201" t="s">
        <v>96</v>
      </c>
      <c r="R201" t="s">
        <v>931</v>
      </c>
      <c r="S201" t="s">
        <v>422</v>
      </c>
      <c r="T201" t="s">
        <v>507</v>
      </c>
      <c r="W201">
        <v>46060.916666666664</v>
      </c>
      <c r="X201">
        <v>46062.208333333336</v>
      </c>
      <c r="Y201">
        <v>0</v>
      </c>
      <c r="Z201">
        <v>31</v>
      </c>
      <c r="AA201">
        <v>28.42</v>
      </c>
      <c r="AB201">
        <v>27.61</v>
      </c>
      <c r="AC201">
        <v>0</v>
      </c>
      <c r="AD201">
        <v>0</v>
      </c>
      <c r="AE201">
        <v>28.42</v>
      </c>
      <c r="AF201" t="s">
        <v>429</v>
      </c>
      <c r="AG201" t="s">
        <v>429</v>
      </c>
      <c r="AH201" t="s">
        <v>429</v>
      </c>
      <c r="AI201" t="s">
        <v>428</v>
      </c>
      <c r="AN201" t="s">
        <v>430</v>
      </c>
      <c r="AO201" t="s">
        <v>446</v>
      </c>
      <c r="AQ201">
        <v>784516.62</v>
      </c>
      <c r="AR201">
        <v>784516.62</v>
      </c>
      <c r="AS201">
        <v>69.566400000000002</v>
      </c>
      <c r="AT201">
        <v>84</v>
      </c>
      <c r="AU201">
        <v>0.1</v>
      </c>
      <c r="AV201">
        <v>69.566400000000002</v>
      </c>
      <c r="AW201">
        <v>84</v>
      </c>
      <c r="AX201">
        <v>0.1</v>
      </c>
      <c r="AY201">
        <v>0</v>
      </c>
      <c r="AZ201">
        <v>69.566400000000002</v>
      </c>
      <c r="BA201">
        <v>84</v>
      </c>
      <c r="BB201">
        <v>0.1</v>
      </c>
      <c r="BC201">
        <v>0</v>
      </c>
      <c r="BD201">
        <v>46061</v>
      </c>
      <c r="BE201">
        <v>46064</v>
      </c>
    </row>
    <row r="202" spans="1:57" ht="15.2" customHeight="1" x14ac:dyDescent="0.25">
      <c r="A202" t="s">
        <v>932</v>
      </c>
      <c r="B202" t="s">
        <v>933</v>
      </c>
      <c r="C202" t="s">
        <v>531</v>
      </c>
      <c r="D202" t="s">
        <v>419</v>
      </c>
      <c r="E202" t="s">
        <v>420</v>
      </c>
      <c r="F202" t="s">
        <v>589</v>
      </c>
      <c r="G202" t="s">
        <v>421</v>
      </c>
      <c r="H202" t="s">
        <v>491</v>
      </c>
      <c r="I202" t="s">
        <v>422</v>
      </c>
      <c r="L202" t="s">
        <v>492</v>
      </c>
      <c r="N202" t="s">
        <v>424</v>
      </c>
      <c r="P202" t="s">
        <v>425</v>
      </c>
      <c r="Q202" t="s">
        <v>50</v>
      </c>
      <c r="R202" t="s">
        <v>426</v>
      </c>
      <c r="T202" t="s">
        <v>427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428</v>
      </c>
      <c r="AG202" t="s">
        <v>429</v>
      </c>
      <c r="AH202" t="s">
        <v>429</v>
      </c>
      <c r="AI202" t="s">
        <v>429</v>
      </c>
      <c r="AJ202" t="s">
        <v>430</v>
      </c>
      <c r="AK202" t="s">
        <v>474</v>
      </c>
      <c r="AN202" t="s">
        <v>431</v>
      </c>
      <c r="AO202" t="s">
        <v>432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46070</v>
      </c>
      <c r="BE202">
        <v>46074</v>
      </c>
    </row>
    <row r="203" spans="1:57" ht="15.2" customHeight="1" x14ac:dyDescent="0.25">
      <c r="A203" t="s">
        <v>934</v>
      </c>
      <c r="B203" t="s">
        <v>935</v>
      </c>
      <c r="C203" t="s">
        <v>629</v>
      </c>
      <c r="D203" t="s">
        <v>518</v>
      </c>
      <c r="E203" t="s">
        <v>420</v>
      </c>
      <c r="F203" t="s">
        <v>519</v>
      </c>
      <c r="G203" t="s">
        <v>421</v>
      </c>
      <c r="H203" t="s">
        <v>544</v>
      </c>
      <c r="I203" t="s">
        <v>422</v>
      </c>
      <c r="L203" t="s">
        <v>492</v>
      </c>
      <c r="N203" t="s">
        <v>424</v>
      </c>
      <c r="O203" t="s">
        <v>751</v>
      </c>
      <c r="P203" t="s">
        <v>440</v>
      </c>
      <c r="Q203" t="s">
        <v>51</v>
      </c>
      <c r="R203" t="s">
        <v>522</v>
      </c>
      <c r="S203" t="s">
        <v>422</v>
      </c>
      <c r="T203" t="s">
        <v>507</v>
      </c>
      <c r="W203">
        <v>46055.541666666664</v>
      </c>
      <c r="X203">
        <v>46069</v>
      </c>
      <c r="Y203">
        <v>0</v>
      </c>
      <c r="Z203">
        <v>273</v>
      </c>
      <c r="AA203">
        <v>250.25</v>
      </c>
      <c r="AB203">
        <v>249.06</v>
      </c>
      <c r="AC203">
        <v>14</v>
      </c>
      <c r="AD203">
        <v>28</v>
      </c>
      <c r="AE203">
        <v>222.25</v>
      </c>
      <c r="AF203" t="s">
        <v>428</v>
      </c>
      <c r="AG203" t="s">
        <v>429</v>
      </c>
      <c r="AH203" t="s">
        <v>428</v>
      </c>
      <c r="AI203" t="s">
        <v>428</v>
      </c>
      <c r="AK203" t="s">
        <v>474</v>
      </c>
      <c r="AM203" t="s">
        <v>485</v>
      </c>
      <c r="AN203" t="s">
        <v>430</v>
      </c>
      <c r="AO203" t="s">
        <v>446</v>
      </c>
      <c r="AQ203">
        <v>6985457.4100000001</v>
      </c>
      <c r="AR203">
        <v>6985457.4100000001</v>
      </c>
      <c r="AS203">
        <v>41.375399999999999</v>
      </c>
      <c r="AT203">
        <v>713</v>
      </c>
      <c r="AU203">
        <v>93</v>
      </c>
      <c r="AV203">
        <v>41.375399999999999</v>
      </c>
      <c r="AW203">
        <v>713</v>
      </c>
      <c r="AX203">
        <v>93</v>
      </c>
      <c r="AY203">
        <v>0</v>
      </c>
      <c r="AZ203">
        <v>51.9</v>
      </c>
      <c r="BA203">
        <v>1044</v>
      </c>
      <c r="BB203">
        <v>94</v>
      </c>
      <c r="BC203">
        <v>0</v>
      </c>
      <c r="BD203">
        <v>46054</v>
      </c>
      <c r="BE203">
        <v>46068</v>
      </c>
    </row>
    <row r="204" spans="1:57" ht="15.2" customHeight="1" x14ac:dyDescent="0.25">
      <c r="A204" t="s">
        <v>213</v>
      </c>
      <c r="B204" t="s">
        <v>936</v>
      </c>
      <c r="C204" t="s">
        <v>527</v>
      </c>
      <c r="D204" t="s">
        <v>437</v>
      </c>
      <c r="E204" t="s">
        <v>420</v>
      </c>
      <c r="F204" t="s">
        <v>501</v>
      </c>
      <c r="G204" t="s">
        <v>502</v>
      </c>
      <c r="I204" t="s">
        <v>422</v>
      </c>
      <c r="L204" t="s">
        <v>504</v>
      </c>
      <c r="N204" t="s">
        <v>424</v>
      </c>
      <c r="O204" t="s">
        <v>454</v>
      </c>
      <c r="P204" t="s">
        <v>440</v>
      </c>
      <c r="Q204" t="s">
        <v>58</v>
      </c>
      <c r="R204" t="s">
        <v>937</v>
      </c>
      <c r="T204" t="s">
        <v>507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428</v>
      </c>
      <c r="AG204" t="s">
        <v>429</v>
      </c>
      <c r="AH204" t="s">
        <v>429</v>
      </c>
      <c r="AI204" t="s">
        <v>429</v>
      </c>
      <c r="AK204" t="s">
        <v>430</v>
      </c>
      <c r="AN204" t="s">
        <v>431</v>
      </c>
      <c r="AO204" t="s">
        <v>432</v>
      </c>
      <c r="AQ204">
        <v>0</v>
      </c>
      <c r="AR204">
        <v>0</v>
      </c>
      <c r="AS204">
        <v>295.26140000000004</v>
      </c>
      <c r="AT204">
        <v>423</v>
      </c>
      <c r="AU204">
        <v>19</v>
      </c>
      <c r="AV204">
        <v>333.65230000000003</v>
      </c>
      <c r="AW204">
        <v>478</v>
      </c>
      <c r="AX204">
        <v>19</v>
      </c>
      <c r="AY204">
        <v>0</v>
      </c>
      <c r="AZ204">
        <v>532</v>
      </c>
      <c r="BA204">
        <v>880</v>
      </c>
      <c r="BB204">
        <v>30</v>
      </c>
      <c r="BC204">
        <v>0</v>
      </c>
      <c r="BD204">
        <v>46065</v>
      </c>
      <c r="BE204">
        <v>46074</v>
      </c>
    </row>
    <row r="205" spans="1:57" ht="15.2" customHeight="1" x14ac:dyDescent="0.25">
      <c r="A205" t="s">
        <v>938</v>
      </c>
      <c r="B205" t="s">
        <v>939</v>
      </c>
      <c r="D205" t="s">
        <v>419</v>
      </c>
      <c r="E205" t="s">
        <v>420</v>
      </c>
      <c r="G205" t="s">
        <v>421</v>
      </c>
      <c r="I205" t="s">
        <v>422</v>
      </c>
      <c r="L205" t="s">
        <v>423</v>
      </c>
      <c r="N205" t="s">
        <v>424</v>
      </c>
      <c r="P205" t="s">
        <v>425</v>
      </c>
      <c r="Q205" t="s">
        <v>50</v>
      </c>
      <c r="R205" t="s">
        <v>426</v>
      </c>
      <c r="T205" t="s">
        <v>427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 t="s">
        <v>428</v>
      </c>
      <c r="AG205" t="s">
        <v>429</v>
      </c>
      <c r="AH205" t="s">
        <v>429</v>
      </c>
      <c r="AI205" t="s">
        <v>429</v>
      </c>
      <c r="AJ205" t="s">
        <v>430</v>
      </c>
      <c r="AK205" t="s">
        <v>430</v>
      </c>
      <c r="AN205" t="s">
        <v>431</v>
      </c>
      <c r="AO205" t="s">
        <v>432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46062</v>
      </c>
      <c r="BE205">
        <v>46065</v>
      </c>
    </row>
    <row r="206" spans="1:57" ht="15.2" customHeight="1" x14ac:dyDescent="0.25">
      <c r="A206" t="s">
        <v>354</v>
      </c>
      <c r="B206" t="s">
        <v>940</v>
      </c>
      <c r="C206" t="s">
        <v>527</v>
      </c>
      <c r="D206" t="s">
        <v>437</v>
      </c>
      <c r="E206" t="s">
        <v>420</v>
      </c>
      <c r="F206" t="s">
        <v>501</v>
      </c>
      <c r="G206" t="s">
        <v>502</v>
      </c>
      <c r="H206" t="s">
        <v>491</v>
      </c>
      <c r="I206" t="s">
        <v>471</v>
      </c>
      <c r="L206" t="s">
        <v>504</v>
      </c>
      <c r="N206" t="s">
        <v>424</v>
      </c>
      <c r="O206" t="s">
        <v>454</v>
      </c>
      <c r="P206" t="s">
        <v>425</v>
      </c>
      <c r="Q206" t="s">
        <v>54</v>
      </c>
      <c r="R206" t="s">
        <v>941</v>
      </c>
      <c r="T206" t="s">
        <v>507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 t="s">
        <v>428</v>
      </c>
      <c r="AG206" t="s">
        <v>429</v>
      </c>
      <c r="AH206" t="s">
        <v>429</v>
      </c>
      <c r="AI206" t="s">
        <v>429</v>
      </c>
      <c r="AJ206" t="s">
        <v>474</v>
      </c>
      <c r="AK206" t="s">
        <v>430</v>
      </c>
      <c r="AN206" t="s">
        <v>431</v>
      </c>
      <c r="AO206" t="s">
        <v>432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1000</v>
      </c>
      <c r="BB206">
        <v>0</v>
      </c>
      <c r="BC206">
        <v>1000</v>
      </c>
      <c r="BD206">
        <v>46079</v>
      </c>
      <c r="BE206">
        <v>46111</v>
      </c>
    </row>
    <row r="207" spans="1:57" ht="15.2" customHeight="1" x14ac:dyDescent="0.25">
      <c r="A207" t="s">
        <v>942</v>
      </c>
      <c r="B207" t="s">
        <v>940</v>
      </c>
      <c r="C207" t="s">
        <v>540</v>
      </c>
      <c r="D207" t="s">
        <v>489</v>
      </c>
      <c r="E207" t="s">
        <v>420</v>
      </c>
      <c r="F207" t="s">
        <v>622</v>
      </c>
      <c r="G207" t="s">
        <v>469</v>
      </c>
      <c r="H207" t="s">
        <v>544</v>
      </c>
      <c r="I207" t="s">
        <v>422</v>
      </c>
      <c r="L207" t="s">
        <v>492</v>
      </c>
      <c r="N207" t="s">
        <v>424</v>
      </c>
      <c r="P207" t="s">
        <v>440</v>
      </c>
      <c r="Q207" t="s">
        <v>51</v>
      </c>
      <c r="R207" t="s">
        <v>943</v>
      </c>
      <c r="T207" t="s">
        <v>507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428</v>
      </c>
      <c r="AG207" t="s">
        <v>429</v>
      </c>
      <c r="AH207" t="s">
        <v>428</v>
      </c>
      <c r="AI207" t="s">
        <v>429</v>
      </c>
      <c r="AK207" t="s">
        <v>430</v>
      </c>
      <c r="AM207" t="s">
        <v>430</v>
      </c>
      <c r="AN207" t="s">
        <v>431</v>
      </c>
      <c r="AO207" t="s">
        <v>432</v>
      </c>
      <c r="AQ207">
        <v>0</v>
      </c>
      <c r="AR207">
        <v>0</v>
      </c>
      <c r="AS207">
        <v>20.413600000000002</v>
      </c>
      <c r="AT207">
        <v>25</v>
      </c>
      <c r="AU207">
        <v>0.3</v>
      </c>
      <c r="AV207">
        <v>20.413600000000002</v>
      </c>
      <c r="AW207">
        <v>25</v>
      </c>
      <c r="AX207">
        <v>0.3</v>
      </c>
      <c r="AY207">
        <v>0</v>
      </c>
      <c r="AZ207">
        <v>20.413600000000002</v>
      </c>
      <c r="BA207">
        <v>25</v>
      </c>
      <c r="BB207">
        <v>0.3</v>
      </c>
      <c r="BC207">
        <v>0</v>
      </c>
      <c r="BD207">
        <v>46069</v>
      </c>
      <c r="BE207">
        <v>46079</v>
      </c>
    </row>
    <row r="208" spans="1:57" ht="15.2" customHeight="1" x14ac:dyDescent="0.25">
      <c r="A208" t="s">
        <v>942</v>
      </c>
      <c r="B208" t="s">
        <v>940</v>
      </c>
      <c r="C208" t="s">
        <v>540</v>
      </c>
      <c r="D208" t="s">
        <v>489</v>
      </c>
      <c r="E208" t="s">
        <v>420</v>
      </c>
      <c r="F208" t="s">
        <v>622</v>
      </c>
      <c r="G208" t="s">
        <v>469</v>
      </c>
      <c r="H208" t="s">
        <v>544</v>
      </c>
      <c r="I208" t="s">
        <v>422</v>
      </c>
      <c r="L208" t="s">
        <v>492</v>
      </c>
      <c r="N208" t="s">
        <v>424</v>
      </c>
      <c r="P208" t="s">
        <v>440</v>
      </c>
      <c r="Q208" t="s">
        <v>594</v>
      </c>
      <c r="R208" t="s">
        <v>944</v>
      </c>
      <c r="T208" t="s">
        <v>507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428</v>
      </c>
      <c r="AG208" t="s">
        <v>429</v>
      </c>
      <c r="AH208" t="s">
        <v>429</v>
      </c>
      <c r="AI208" t="s">
        <v>429</v>
      </c>
      <c r="AK208" t="s">
        <v>474</v>
      </c>
      <c r="AN208" t="s">
        <v>431</v>
      </c>
      <c r="AO208" t="s">
        <v>432</v>
      </c>
      <c r="AQ208">
        <v>0</v>
      </c>
      <c r="AR208">
        <v>0</v>
      </c>
      <c r="AS208">
        <v>20.413600000000002</v>
      </c>
      <c r="AT208">
        <v>25</v>
      </c>
      <c r="AU208">
        <v>0.3</v>
      </c>
      <c r="AV208">
        <v>20.413600000000002</v>
      </c>
      <c r="AW208">
        <v>25</v>
      </c>
      <c r="AX208">
        <v>0.3</v>
      </c>
      <c r="AY208">
        <v>0</v>
      </c>
      <c r="AZ208">
        <v>20.413600000000002</v>
      </c>
      <c r="BA208">
        <v>25</v>
      </c>
      <c r="BB208">
        <v>0.3</v>
      </c>
      <c r="BC208">
        <v>0</v>
      </c>
      <c r="BD208">
        <v>46067</v>
      </c>
      <c r="BE208">
        <v>46068</v>
      </c>
    </row>
    <row r="209" spans="1:57" ht="15.2" customHeight="1" x14ac:dyDescent="0.25">
      <c r="A209" t="s">
        <v>942</v>
      </c>
      <c r="B209" t="s">
        <v>940</v>
      </c>
      <c r="C209" t="s">
        <v>540</v>
      </c>
      <c r="D209" t="s">
        <v>489</v>
      </c>
      <c r="E209" t="s">
        <v>420</v>
      </c>
      <c r="F209" t="s">
        <v>622</v>
      </c>
      <c r="G209" t="s">
        <v>469</v>
      </c>
      <c r="H209" t="s">
        <v>544</v>
      </c>
      <c r="I209" t="s">
        <v>422</v>
      </c>
      <c r="L209" t="s">
        <v>492</v>
      </c>
      <c r="N209" t="s">
        <v>424</v>
      </c>
      <c r="O209" t="s">
        <v>560</v>
      </c>
      <c r="P209" t="s">
        <v>425</v>
      </c>
      <c r="Q209" t="s">
        <v>84</v>
      </c>
      <c r="R209" t="s">
        <v>645</v>
      </c>
      <c r="S209" t="s">
        <v>422</v>
      </c>
      <c r="T209" t="s">
        <v>507</v>
      </c>
      <c r="W209">
        <v>46017.375</v>
      </c>
      <c r="X209">
        <v>46024.416666666664</v>
      </c>
      <c r="Y209">
        <v>44921</v>
      </c>
      <c r="Z209">
        <v>169</v>
      </c>
      <c r="AA209">
        <v>154.92000000000002</v>
      </c>
      <c r="AB209">
        <v>41.56</v>
      </c>
      <c r="AC209">
        <v>0</v>
      </c>
      <c r="AD209">
        <v>106.5</v>
      </c>
      <c r="AE209">
        <v>48.42</v>
      </c>
      <c r="AF209" t="s">
        <v>428</v>
      </c>
      <c r="AG209" t="s">
        <v>429</v>
      </c>
      <c r="AH209" t="s">
        <v>429</v>
      </c>
      <c r="AI209" t="s">
        <v>428</v>
      </c>
      <c r="AJ209" t="s">
        <v>474</v>
      </c>
      <c r="AK209" t="s">
        <v>474</v>
      </c>
      <c r="AN209" t="s">
        <v>498</v>
      </c>
      <c r="AO209" t="s">
        <v>811</v>
      </c>
      <c r="AQ209">
        <v>1339998.47</v>
      </c>
      <c r="AR209">
        <v>1339998.47</v>
      </c>
      <c r="AS209">
        <v>5.7158000000000007</v>
      </c>
      <c r="AT209">
        <v>7</v>
      </c>
      <c r="AU209">
        <v>0.3</v>
      </c>
      <c r="AV209">
        <v>5.7158000000000007</v>
      </c>
      <c r="AW209">
        <v>7</v>
      </c>
      <c r="AX209">
        <v>0.3</v>
      </c>
      <c r="AY209">
        <v>0</v>
      </c>
      <c r="AZ209">
        <v>5.7158000000000007</v>
      </c>
      <c r="BA209">
        <v>7</v>
      </c>
      <c r="BB209">
        <v>0.3</v>
      </c>
      <c r="BC209">
        <v>0</v>
      </c>
      <c r="BD209">
        <v>46072</v>
      </c>
      <c r="BE209">
        <v>46081</v>
      </c>
    </row>
    <row r="210" spans="1:57" ht="15.2" customHeight="1" x14ac:dyDescent="0.25">
      <c r="A210" t="s">
        <v>945</v>
      </c>
      <c r="B210" t="s">
        <v>946</v>
      </c>
      <c r="C210" t="s">
        <v>527</v>
      </c>
      <c r="D210" t="s">
        <v>437</v>
      </c>
      <c r="E210" t="s">
        <v>420</v>
      </c>
      <c r="F210" t="s">
        <v>501</v>
      </c>
      <c r="G210" t="s">
        <v>502</v>
      </c>
      <c r="H210" t="s">
        <v>579</v>
      </c>
      <c r="L210" t="s">
        <v>504</v>
      </c>
      <c r="N210" t="s">
        <v>424</v>
      </c>
      <c r="O210" t="s">
        <v>577</v>
      </c>
      <c r="P210" t="s">
        <v>425</v>
      </c>
      <c r="Q210" t="s">
        <v>145</v>
      </c>
      <c r="R210" t="s">
        <v>947</v>
      </c>
      <c r="T210" t="s">
        <v>571</v>
      </c>
      <c r="W210">
        <v>46041.75</v>
      </c>
      <c r="X210">
        <v>46059.75</v>
      </c>
      <c r="Y210">
        <v>45525</v>
      </c>
      <c r="Z210">
        <v>432</v>
      </c>
      <c r="AA210">
        <v>396</v>
      </c>
      <c r="AB210">
        <v>336.52</v>
      </c>
      <c r="AC210">
        <v>220.09</v>
      </c>
      <c r="AD210">
        <v>224.59</v>
      </c>
      <c r="AE210">
        <v>171.41</v>
      </c>
      <c r="AF210" t="s">
        <v>428</v>
      </c>
      <c r="AG210" t="s">
        <v>429</v>
      </c>
      <c r="AH210" t="s">
        <v>429</v>
      </c>
      <c r="AI210" t="s">
        <v>428</v>
      </c>
      <c r="AJ210" t="s">
        <v>430</v>
      </c>
      <c r="AK210" t="s">
        <v>430</v>
      </c>
      <c r="AN210" t="s">
        <v>498</v>
      </c>
      <c r="AO210" t="s">
        <v>446</v>
      </c>
      <c r="AQ210">
        <v>6586060.04</v>
      </c>
      <c r="AR210">
        <v>6586060.04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Z210">
        <v>0</v>
      </c>
      <c r="BA210">
        <v>0</v>
      </c>
      <c r="BB210">
        <v>0</v>
      </c>
      <c r="BC210">
        <v>0</v>
      </c>
      <c r="BD210">
        <v>46039</v>
      </c>
      <c r="BE210">
        <v>46062</v>
      </c>
    </row>
    <row r="211" spans="1:57" ht="15.2" customHeight="1" x14ac:dyDescent="0.25">
      <c r="A211" t="s">
        <v>948</v>
      </c>
      <c r="B211" t="s">
        <v>949</v>
      </c>
      <c r="C211" t="s">
        <v>950</v>
      </c>
      <c r="D211" t="s">
        <v>489</v>
      </c>
      <c r="E211" t="s">
        <v>420</v>
      </c>
      <c r="F211" t="s">
        <v>490</v>
      </c>
      <c r="G211" t="s">
        <v>469</v>
      </c>
      <c r="I211" t="s">
        <v>471</v>
      </c>
      <c r="L211" t="s">
        <v>492</v>
      </c>
      <c r="N211" t="s">
        <v>424</v>
      </c>
      <c r="O211" t="s">
        <v>608</v>
      </c>
      <c r="P211" t="s">
        <v>440</v>
      </c>
      <c r="Q211" t="s">
        <v>49</v>
      </c>
      <c r="R211" t="s">
        <v>951</v>
      </c>
      <c r="S211" t="s">
        <v>471</v>
      </c>
      <c r="T211" t="s">
        <v>427</v>
      </c>
      <c r="W211">
        <v>46067.375</v>
      </c>
      <c r="X211">
        <v>46067.791666666664</v>
      </c>
      <c r="Y211">
        <v>0</v>
      </c>
      <c r="Z211">
        <v>10</v>
      </c>
      <c r="AA211">
        <v>9.17</v>
      </c>
      <c r="AB211">
        <v>0</v>
      </c>
      <c r="AC211">
        <v>0</v>
      </c>
      <c r="AD211">
        <v>0</v>
      </c>
      <c r="AE211">
        <v>9.17</v>
      </c>
      <c r="AF211" t="s">
        <v>429</v>
      </c>
      <c r="AG211" t="s">
        <v>429</v>
      </c>
      <c r="AH211" t="s">
        <v>429</v>
      </c>
      <c r="AI211" t="s">
        <v>429</v>
      </c>
      <c r="AN211" t="s">
        <v>431</v>
      </c>
      <c r="AO211" t="s">
        <v>432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46067</v>
      </c>
      <c r="BE211">
        <v>46068</v>
      </c>
    </row>
    <row r="212" spans="1:57" ht="15.2" customHeight="1" x14ac:dyDescent="0.25">
      <c r="A212" t="s">
        <v>948</v>
      </c>
      <c r="B212" t="s">
        <v>949</v>
      </c>
      <c r="C212" t="s">
        <v>950</v>
      </c>
      <c r="D212" t="s">
        <v>489</v>
      </c>
      <c r="E212" t="s">
        <v>420</v>
      </c>
      <c r="F212" t="s">
        <v>490</v>
      </c>
      <c r="G212" t="s">
        <v>469</v>
      </c>
      <c r="H212" t="s">
        <v>491</v>
      </c>
      <c r="I212" t="s">
        <v>471</v>
      </c>
      <c r="L212" t="s">
        <v>492</v>
      </c>
      <c r="N212" t="s">
        <v>424</v>
      </c>
      <c r="O212" t="s">
        <v>608</v>
      </c>
      <c r="P212" t="s">
        <v>440</v>
      </c>
      <c r="Q212" t="s">
        <v>456</v>
      </c>
      <c r="R212" t="s">
        <v>952</v>
      </c>
      <c r="S212" t="s">
        <v>471</v>
      </c>
      <c r="T212" t="s">
        <v>427</v>
      </c>
      <c r="W212">
        <v>46055.041666666664</v>
      </c>
      <c r="X212">
        <v>46055.458333333336</v>
      </c>
      <c r="Z212">
        <v>10</v>
      </c>
      <c r="AA212">
        <v>9.17</v>
      </c>
      <c r="AB212">
        <v>0</v>
      </c>
      <c r="AC212">
        <v>0</v>
      </c>
      <c r="AD212">
        <v>0</v>
      </c>
      <c r="AE212">
        <v>9.17</v>
      </c>
      <c r="AF212" t="s">
        <v>429</v>
      </c>
      <c r="AG212" t="s">
        <v>429</v>
      </c>
      <c r="AH212" t="s">
        <v>429</v>
      </c>
      <c r="AI212" t="s">
        <v>429</v>
      </c>
      <c r="AN212" t="s">
        <v>431</v>
      </c>
      <c r="AO212" t="s">
        <v>432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46055</v>
      </c>
      <c r="BE212">
        <v>46057</v>
      </c>
    </row>
    <row r="213" spans="1:57" ht="15.2" customHeight="1" x14ac:dyDescent="0.25">
      <c r="A213" t="s">
        <v>948</v>
      </c>
      <c r="B213" t="s">
        <v>949</v>
      </c>
      <c r="C213" t="s">
        <v>950</v>
      </c>
      <c r="D213" t="s">
        <v>489</v>
      </c>
      <c r="E213" t="s">
        <v>420</v>
      </c>
      <c r="F213" t="s">
        <v>490</v>
      </c>
      <c r="G213" t="s">
        <v>469</v>
      </c>
      <c r="I213" t="s">
        <v>471</v>
      </c>
      <c r="L213" t="s">
        <v>492</v>
      </c>
      <c r="N213" t="s">
        <v>424</v>
      </c>
      <c r="O213" t="s">
        <v>608</v>
      </c>
      <c r="P213" t="s">
        <v>440</v>
      </c>
      <c r="Q213" t="s">
        <v>49</v>
      </c>
      <c r="R213" t="s">
        <v>953</v>
      </c>
      <c r="T213" t="s">
        <v>427</v>
      </c>
      <c r="W213">
        <v>46065.375</v>
      </c>
      <c r="X213">
        <v>46066.666666666664</v>
      </c>
      <c r="Y213">
        <v>0</v>
      </c>
      <c r="Z213">
        <v>31</v>
      </c>
      <c r="AA213">
        <v>28.42</v>
      </c>
      <c r="AB213">
        <v>0</v>
      </c>
      <c r="AC213">
        <v>0</v>
      </c>
      <c r="AD213">
        <v>0</v>
      </c>
      <c r="AE213">
        <v>28.42</v>
      </c>
      <c r="AF213" t="s">
        <v>428</v>
      </c>
      <c r="AG213" t="s">
        <v>429</v>
      </c>
      <c r="AH213" t="s">
        <v>429</v>
      </c>
      <c r="AI213" t="s">
        <v>429</v>
      </c>
      <c r="AK213" t="s">
        <v>474</v>
      </c>
      <c r="AN213" t="s">
        <v>431</v>
      </c>
      <c r="AO213" t="s">
        <v>432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46060</v>
      </c>
      <c r="BE213">
        <v>46061</v>
      </c>
    </row>
    <row r="214" spans="1:57" ht="15.2" customHeight="1" x14ac:dyDescent="0.25">
      <c r="A214" t="s">
        <v>948</v>
      </c>
      <c r="B214" t="s">
        <v>949</v>
      </c>
      <c r="C214" t="s">
        <v>950</v>
      </c>
      <c r="D214" t="s">
        <v>489</v>
      </c>
      <c r="E214" t="s">
        <v>420</v>
      </c>
      <c r="F214" t="s">
        <v>490</v>
      </c>
      <c r="G214" t="s">
        <v>469</v>
      </c>
      <c r="H214" t="s">
        <v>491</v>
      </c>
      <c r="I214" t="s">
        <v>471</v>
      </c>
      <c r="L214" t="s">
        <v>492</v>
      </c>
      <c r="N214" t="s">
        <v>424</v>
      </c>
      <c r="O214" t="s">
        <v>493</v>
      </c>
      <c r="P214" t="s">
        <v>440</v>
      </c>
      <c r="Q214" t="s">
        <v>49</v>
      </c>
      <c r="R214" t="s">
        <v>954</v>
      </c>
      <c r="T214" t="s">
        <v>427</v>
      </c>
      <c r="W214">
        <v>46064.333333333336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428</v>
      </c>
      <c r="AG214" t="s">
        <v>429</v>
      </c>
      <c r="AH214" t="s">
        <v>429</v>
      </c>
      <c r="AI214" t="s">
        <v>429</v>
      </c>
      <c r="AK214" t="s">
        <v>474</v>
      </c>
      <c r="AN214" t="s">
        <v>431</v>
      </c>
      <c r="AO214" t="s">
        <v>432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46059</v>
      </c>
      <c r="BE214">
        <v>46060</v>
      </c>
    </row>
    <row r="215" spans="1:57" ht="15.2" customHeight="1" x14ac:dyDescent="0.25">
      <c r="A215" t="s">
        <v>948</v>
      </c>
      <c r="B215" t="s">
        <v>949</v>
      </c>
      <c r="C215" t="s">
        <v>950</v>
      </c>
      <c r="D215" t="s">
        <v>489</v>
      </c>
      <c r="E215" t="s">
        <v>420</v>
      </c>
      <c r="F215" t="s">
        <v>490</v>
      </c>
      <c r="G215" t="s">
        <v>469</v>
      </c>
      <c r="H215" t="s">
        <v>491</v>
      </c>
      <c r="I215" t="s">
        <v>471</v>
      </c>
      <c r="L215" t="s">
        <v>492</v>
      </c>
      <c r="N215" t="s">
        <v>424</v>
      </c>
      <c r="O215" t="s">
        <v>608</v>
      </c>
      <c r="P215" t="s">
        <v>440</v>
      </c>
      <c r="Q215" t="s">
        <v>456</v>
      </c>
      <c r="R215" t="s">
        <v>955</v>
      </c>
      <c r="S215" t="s">
        <v>471</v>
      </c>
      <c r="T215" t="s">
        <v>427</v>
      </c>
      <c r="W215">
        <v>46060.395833333336</v>
      </c>
      <c r="X215">
        <v>46061.916666666664</v>
      </c>
      <c r="Z215">
        <v>36.5</v>
      </c>
      <c r="AA215">
        <v>33.46</v>
      </c>
      <c r="AB215">
        <v>0</v>
      </c>
      <c r="AC215">
        <v>0</v>
      </c>
      <c r="AD215">
        <v>2.5</v>
      </c>
      <c r="AE215">
        <v>30.96</v>
      </c>
      <c r="AF215" t="s">
        <v>429</v>
      </c>
      <c r="AG215" t="s">
        <v>429</v>
      </c>
      <c r="AH215" t="s">
        <v>429</v>
      </c>
      <c r="AI215" t="s">
        <v>429</v>
      </c>
      <c r="AN215" t="s">
        <v>431</v>
      </c>
      <c r="AO215" t="s">
        <v>432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46060</v>
      </c>
      <c r="BE215">
        <v>46061</v>
      </c>
    </row>
    <row r="216" spans="1:57" ht="15.2" customHeight="1" x14ac:dyDescent="0.25">
      <c r="A216" t="s">
        <v>948</v>
      </c>
      <c r="B216" t="s">
        <v>949</v>
      </c>
      <c r="C216" t="s">
        <v>950</v>
      </c>
      <c r="D216" t="s">
        <v>489</v>
      </c>
      <c r="E216" t="s">
        <v>420</v>
      </c>
      <c r="F216" t="s">
        <v>490</v>
      </c>
      <c r="G216" t="s">
        <v>469</v>
      </c>
      <c r="H216" t="s">
        <v>491</v>
      </c>
      <c r="I216" t="s">
        <v>471</v>
      </c>
      <c r="L216" t="s">
        <v>492</v>
      </c>
      <c r="N216" t="s">
        <v>424</v>
      </c>
      <c r="O216" t="s">
        <v>608</v>
      </c>
      <c r="P216" t="s">
        <v>440</v>
      </c>
      <c r="Q216" t="s">
        <v>456</v>
      </c>
      <c r="R216" t="s">
        <v>956</v>
      </c>
      <c r="S216" t="s">
        <v>471</v>
      </c>
      <c r="T216" t="s">
        <v>427</v>
      </c>
      <c r="W216">
        <v>46052.833333333336</v>
      </c>
      <c r="X216">
        <v>46054.520833333336</v>
      </c>
      <c r="Z216">
        <v>40.5</v>
      </c>
      <c r="AA216">
        <v>37.130000000000003</v>
      </c>
      <c r="AB216">
        <v>0</v>
      </c>
      <c r="AC216">
        <v>0</v>
      </c>
      <c r="AD216">
        <v>0</v>
      </c>
      <c r="AE216">
        <v>37.130000000000003</v>
      </c>
      <c r="AF216" t="s">
        <v>429</v>
      </c>
      <c r="AG216" t="s">
        <v>429</v>
      </c>
      <c r="AH216" t="s">
        <v>429</v>
      </c>
      <c r="AI216" t="s">
        <v>429</v>
      </c>
      <c r="AN216" t="s">
        <v>431</v>
      </c>
      <c r="AO216" t="s">
        <v>432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46052</v>
      </c>
      <c r="BE216">
        <v>46054</v>
      </c>
    </row>
    <row r="217" spans="1:57" ht="15.2" customHeight="1" x14ac:dyDescent="0.25">
      <c r="A217" t="s">
        <v>948</v>
      </c>
      <c r="B217" t="s">
        <v>949</v>
      </c>
      <c r="C217" t="s">
        <v>950</v>
      </c>
      <c r="D217" t="s">
        <v>489</v>
      </c>
      <c r="E217" t="s">
        <v>420</v>
      </c>
      <c r="F217" t="s">
        <v>490</v>
      </c>
      <c r="G217" t="s">
        <v>469</v>
      </c>
      <c r="H217" t="s">
        <v>491</v>
      </c>
      <c r="I217" t="s">
        <v>471</v>
      </c>
      <c r="L217" t="s">
        <v>492</v>
      </c>
      <c r="N217" t="s">
        <v>424</v>
      </c>
      <c r="O217" t="s">
        <v>847</v>
      </c>
      <c r="P217" t="s">
        <v>440</v>
      </c>
      <c r="Q217" t="s">
        <v>49</v>
      </c>
      <c r="R217" t="s">
        <v>957</v>
      </c>
      <c r="S217" t="s">
        <v>471</v>
      </c>
      <c r="T217" t="s">
        <v>427</v>
      </c>
      <c r="W217">
        <v>46059.875</v>
      </c>
      <c r="X217">
        <v>46060.333333333336</v>
      </c>
      <c r="Z217">
        <v>11</v>
      </c>
      <c r="AA217">
        <v>10.08</v>
      </c>
      <c r="AB217">
        <v>10</v>
      </c>
      <c r="AC217">
        <v>0</v>
      </c>
      <c r="AD217">
        <v>0</v>
      </c>
      <c r="AE217">
        <v>10.08</v>
      </c>
      <c r="AF217" t="s">
        <v>428</v>
      </c>
      <c r="AG217" t="s">
        <v>429</v>
      </c>
      <c r="AH217" t="s">
        <v>429</v>
      </c>
      <c r="AI217" t="s">
        <v>428</v>
      </c>
      <c r="AK217" t="s">
        <v>474</v>
      </c>
      <c r="AN217" t="s">
        <v>430</v>
      </c>
      <c r="AO217" t="s">
        <v>446</v>
      </c>
      <c r="AQ217">
        <v>291930.2</v>
      </c>
      <c r="AR217">
        <v>291930.2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46059</v>
      </c>
      <c r="BE217">
        <v>46060</v>
      </c>
    </row>
    <row r="218" spans="1:57" ht="15.2" customHeight="1" x14ac:dyDescent="0.25">
      <c r="A218" t="s">
        <v>948</v>
      </c>
      <c r="B218" t="s">
        <v>949</v>
      </c>
      <c r="C218" t="s">
        <v>950</v>
      </c>
      <c r="D218" t="s">
        <v>489</v>
      </c>
      <c r="E218" t="s">
        <v>420</v>
      </c>
      <c r="F218" t="s">
        <v>490</v>
      </c>
      <c r="G218" t="s">
        <v>469</v>
      </c>
      <c r="I218" t="s">
        <v>471</v>
      </c>
      <c r="L218" t="s">
        <v>492</v>
      </c>
      <c r="N218" t="s">
        <v>424</v>
      </c>
      <c r="O218" t="s">
        <v>608</v>
      </c>
      <c r="P218" t="s">
        <v>440</v>
      </c>
      <c r="Q218" t="s">
        <v>49</v>
      </c>
      <c r="R218" t="s">
        <v>958</v>
      </c>
      <c r="T218" t="s">
        <v>427</v>
      </c>
      <c r="W218">
        <v>46067.791666666664</v>
      </c>
      <c r="X218">
        <v>46070.479166666664</v>
      </c>
      <c r="Y218">
        <v>0</v>
      </c>
      <c r="Z218">
        <v>64.5</v>
      </c>
      <c r="AA218">
        <v>59.13</v>
      </c>
      <c r="AB218">
        <v>0</v>
      </c>
      <c r="AC218">
        <v>0</v>
      </c>
      <c r="AD218">
        <v>3.5</v>
      </c>
      <c r="AE218">
        <v>55.63</v>
      </c>
      <c r="AF218" t="s">
        <v>428</v>
      </c>
      <c r="AG218" t="s">
        <v>429</v>
      </c>
      <c r="AH218" t="s">
        <v>429</v>
      </c>
      <c r="AI218" t="s">
        <v>429</v>
      </c>
      <c r="AK218" t="s">
        <v>474</v>
      </c>
      <c r="AN218" t="s">
        <v>431</v>
      </c>
      <c r="AO218" t="s">
        <v>432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46067</v>
      </c>
      <c r="BE218">
        <v>46070</v>
      </c>
    </row>
    <row r="219" spans="1:57" ht="15.2" customHeight="1" x14ac:dyDescent="0.25">
      <c r="A219" t="s">
        <v>45</v>
      </c>
      <c r="B219" t="s">
        <v>959</v>
      </c>
      <c r="C219" t="s">
        <v>950</v>
      </c>
      <c r="D219" t="s">
        <v>489</v>
      </c>
      <c r="E219" t="s">
        <v>420</v>
      </c>
      <c r="F219" t="s">
        <v>622</v>
      </c>
      <c r="G219" t="s">
        <v>469</v>
      </c>
      <c r="H219" t="s">
        <v>491</v>
      </c>
      <c r="I219" t="s">
        <v>541</v>
      </c>
      <c r="L219" t="s">
        <v>492</v>
      </c>
      <c r="N219" t="s">
        <v>424</v>
      </c>
      <c r="O219" t="s">
        <v>960</v>
      </c>
      <c r="P219" t="s">
        <v>425</v>
      </c>
      <c r="Q219" t="s">
        <v>765</v>
      </c>
      <c r="R219" t="s">
        <v>961</v>
      </c>
      <c r="S219" t="s">
        <v>541</v>
      </c>
      <c r="T219" t="s">
        <v>507</v>
      </c>
      <c r="W219">
        <v>46069.708333333336</v>
      </c>
      <c r="X219">
        <v>0</v>
      </c>
      <c r="Y219">
        <v>45270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 t="s">
        <v>428</v>
      </c>
      <c r="AG219" t="s">
        <v>429</v>
      </c>
      <c r="AH219" t="s">
        <v>429</v>
      </c>
      <c r="AI219" t="s">
        <v>429</v>
      </c>
      <c r="AJ219" t="s">
        <v>430</v>
      </c>
      <c r="AK219" t="s">
        <v>474</v>
      </c>
      <c r="AN219" t="s">
        <v>431</v>
      </c>
      <c r="AO219" t="s">
        <v>432</v>
      </c>
      <c r="AQ219">
        <v>0</v>
      </c>
      <c r="AR219">
        <v>0</v>
      </c>
      <c r="AS219">
        <v>235.13490000000002</v>
      </c>
      <c r="AT219">
        <v>290</v>
      </c>
      <c r="AU219">
        <v>1</v>
      </c>
      <c r="AV219">
        <v>280.91700000000003</v>
      </c>
      <c r="AW219">
        <v>350</v>
      </c>
      <c r="AX219">
        <v>2</v>
      </c>
      <c r="AY219">
        <v>0</v>
      </c>
      <c r="AZ219">
        <v>235.13490000000002</v>
      </c>
      <c r="BA219">
        <v>290</v>
      </c>
      <c r="BB219">
        <v>1</v>
      </c>
      <c r="BC219">
        <v>0</v>
      </c>
      <c r="BD219">
        <v>46069</v>
      </c>
      <c r="BE219">
        <v>46075</v>
      </c>
    </row>
    <row r="220" spans="1:57" ht="15.2" customHeight="1" x14ac:dyDescent="0.25">
      <c r="A220" t="s">
        <v>45</v>
      </c>
      <c r="B220" t="s">
        <v>959</v>
      </c>
      <c r="C220" t="s">
        <v>950</v>
      </c>
      <c r="D220" t="s">
        <v>489</v>
      </c>
      <c r="E220" t="s">
        <v>420</v>
      </c>
      <c r="F220" t="s">
        <v>622</v>
      </c>
      <c r="G220" t="s">
        <v>469</v>
      </c>
      <c r="H220" t="s">
        <v>544</v>
      </c>
      <c r="I220" t="s">
        <v>541</v>
      </c>
      <c r="L220" t="s">
        <v>492</v>
      </c>
      <c r="N220" t="s">
        <v>424</v>
      </c>
      <c r="O220" t="s">
        <v>960</v>
      </c>
      <c r="P220" t="s">
        <v>425</v>
      </c>
      <c r="Q220" t="s">
        <v>765</v>
      </c>
      <c r="R220" t="s">
        <v>962</v>
      </c>
      <c r="S220" t="s">
        <v>541</v>
      </c>
      <c r="T220" t="s">
        <v>507</v>
      </c>
      <c r="W220">
        <v>46067.083333333336</v>
      </c>
      <c r="X220">
        <v>46069.291666666664</v>
      </c>
      <c r="Y220">
        <v>45270</v>
      </c>
      <c r="Z220">
        <v>53</v>
      </c>
      <c r="AA220">
        <v>48.58</v>
      </c>
      <c r="AB220">
        <v>0</v>
      </c>
      <c r="AC220">
        <v>0</v>
      </c>
      <c r="AD220">
        <v>0</v>
      </c>
      <c r="AE220">
        <v>48.58</v>
      </c>
      <c r="AF220" t="s">
        <v>429</v>
      </c>
      <c r="AG220" t="s">
        <v>429</v>
      </c>
      <c r="AH220" t="s">
        <v>429</v>
      </c>
      <c r="AI220" t="s">
        <v>429</v>
      </c>
      <c r="AN220" t="s">
        <v>431</v>
      </c>
      <c r="AO220" t="s">
        <v>432</v>
      </c>
      <c r="AQ220">
        <v>0</v>
      </c>
      <c r="AR220">
        <v>0</v>
      </c>
      <c r="AS220">
        <v>235.13490000000002</v>
      </c>
      <c r="AT220">
        <v>290</v>
      </c>
      <c r="AU220">
        <v>1</v>
      </c>
      <c r="AV220">
        <v>235.13490000000002</v>
      </c>
      <c r="AW220">
        <v>290</v>
      </c>
      <c r="AX220">
        <v>1</v>
      </c>
      <c r="AY220">
        <v>0</v>
      </c>
      <c r="AZ220">
        <v>235.13490000000002</v>
      </c>
      <c r="BA220">
        <v>290</v>
      </c>
      <c r="BB220">
        <v>1</v>
      </c>
      <c r="BC220">
        <v>0</v>
      </c>
      <c r="BD220">
        <v>46066</v>
      </c>
      <c r="BE220">
        <v>46070</v>
      </c>
    </row>
    <row r="221" spans="1:57" ht="15.2" customHeight="1" x14ac:dyDescent="0.25">
      <c r="A221" t="s">
        <v>222</v>
      </c>
      <c r="B221" t="s">
        <v>963</v>
      </c>
      <c r="C221" t="s">
        <v>950</v>
      </c>
      <c r="D221" t="s">
        <v>489</v>
      </c>
      <c r="E221" t="s">
        <v>420</v>
      </c>
      <c r="F221" t="s">
        <v>622</v>
      </c>
      <c r="G221" t="s">
        <v>469</v>
      </c>
      <c r="I221" t="s">
        <v>422</v>
      </c>
      <c r="L221" t="s">
        <v>492</v>
      </c>
      <c r="N221" t="s">
        <v>424</v>
      </c>
      <c r="O221" t="s">
        <v>687</v>
      </c>
      <c r="P221" t="s">
        <v>425</v>
      </c>
      <c r="Q221" t="s">
        <v>92</v>
      </c>
      <c r="R221" t="s">
        <v>964</v>
      </c>
      <c r="S221" t="s">
        <v>422</v>
      </c>
      <c r="T221" t="s">
        <v>507</v>
      </c>
      <c r="W221">
        <v>46046.729166666664</v>
      </c>
      <c r="X221">
        <v>0</v>
      </c>
      <c r="Y221">
        <v>46037</v>
      </c>
      <c r="Z221">
        <v>0</v>
      </c>
      <c r="AA221">
        <v>0</v>
      </c>
      <c r="AB221">
        <v>546.01</v>
      </c>
      <c r="AC221">
        <v>0</v>
      </c>
      <c r="AD221">
        <v>0</v>
      </c>
      <c r="AE221">
        <v>0</v>
      </c>
      <c r="AF221" t="s">
        <v>428</v>
      </c>
      <c r="AG221" t="s">
        <v>429</v>
      </c>
      <c r="AH221" t="s">
        <v>428</v>
      </c>
      <c r="AI221" t="s">
        <v>428</v>
      </c>
      <c r="AJ221" t="s">
        <v>474</v>
      </c>
      <c r="AK221" t="s">
        <v>474</v>
      </c>
      <c r="AM221" t="s">
        <v>485</v>
      </c>
      <c r="AN221" t="s">
        <v>498</v>
      </c>
      <c r="AO221" t="s">
        <v>446</v>
      </c>
      <c r="AQ221">
        <v>11073055.689999999</v>
      </c>
      <c r="AR221">
        <v>11073055.689999999</v>
      </c>
      <c r="AS221">
        <v>127.6002</v>
      </c>
      <c r="AT221">
        <v>164</v>
      </c>
      <c r="AU221">
        <v>5</v>
      </c>
      <c r="AV221">
        <v>127.6002</v>
      </c>
      <c r="AW221">
        <v>164</v>
      </c>
      <c r="AX221">
        <v>5</v>
      </c>
      <c r="AY221">
        <v>0</v>
      </c>
      <c r="AZ221">
        <v>127.6002</v>
      </c>
      <c r="BA221">
        <v>164</v>
      </c>
      <c r="BB221">
        <v>5</v>
      </c>
      <c r="BC221">
        <v>0</v>
      </c>
      <c r="BD221">
        <v>46044</v>
      </c>
      <c r="BE221">
        <v>46065</v>
      </c>
    </row>
    <row r="222" spans="1:57" ht="15.2" customHeight="1" x14ac:dyDescent="0.25">
      <c r="A222" t="s">
        <v>161</v>
      </c>
      <c r="B222" t="s">
        <v>965</v>
      </c>
      <c r="C222" t="s">
        <v>950</v>
      </c>
      <c r="D222" t="s">
        <v>489</v>
      </c>
      <c r="E222" t="s">
        <v>420</v>
      </c>
      <c r="F222" t="s">
        <v>622</v>
      </c>
      <c r="G222" t="s">
        <v>469</v>
      </c>
      <c r="H222" t="s">
        <v>579</v>
      </c>
      <c r="I222" t="s">
        <v>422</v>
      </c>
      <c r="L222" t="s">
        <v>492</v>
      </c>
      <c r="N222" t="s">
        <v>424</v>
      </c>
      <c r="O222" t="s">
        <v>687</v>
      </c>
      <c r="P222" t="s">
        <v>425</v>
      </c>
      <c r="Q222" t="s">
        <v>92</v>
      </c>
      <c r="R222" t="s">
        <v>966</v>
      </c>
      <c r="S222" t="s">
        <v>422</v>
      </c>
      <c r="T222" t="s">
        <v>507</v>
      </c>
      <c r="W222">
        <v>46031.5</v>
      </c>
      <c r="X222">
        <v>46046.729166666664</v>
      </c>
      <c r="Y222">
        <v>45980</v>
      </c>
      <c r="Z222">
        <v>365.5</v>
      </c>
      <c r="AA222">
        <v>335.04</v>
      </c>
      <c r="AB222">
        <v>319.39</v>
      </c>
      <c r="AC222">
        <v>270.17</v>
      </c>
      <c r="AD222">
        <v>270.17</v>
      </c>
      <c r="AE222">
        <v>64.87</v>
      </c>
      <c r="AF222" t="s">
        <v>428</v>
      </c>
      <c r="AG222" t="s">
        <v>429</v>
      </c>
      <c r="AH222" t="s">
        <v>429</v>
      </c>
      <c r="AI222" t="s">
        <v>428</v>
      </c>
      <c r="AJ222" t="s">
        <v>474</v>
      </c>
      <c r="AK222" t="s">
        <v>474</v>
      </c>
      <c r="AN222" t="s">
        <v>485</v>
      </c>
      <c r="AO222" t="s">
        <v>811</v>
      </c>
      <c r="AQ222">
        <v>7169496.3899999997</v>
      </c>
      <c r="AR222">
        <v>7169496.3899999997</v>
      </c>
      <c r="AS222">
        <v>162.16200000000001</v>
      </c>
      <c r="AT222">
        <v>200</v>
      </c>
      <c r="AU222">
        <v>1</v>
      </c>
      <c r="AV222">
        <v>162.16200000000001</v>
      </c>
      <c r="AW222">
        <v>200</v>
      </c>
      <c r="AX222">
        <v>1</v>
      </c>
      <c r="AY222">
        <v>0</v>
      </c>
      <c r="AZ222">
        <v>0</v>
      </c>
      <c r="BA222">
        <v>1000</v>
      </c>
      <c r="BB222">
        <v>0</v>
      </c>
      <c r="BC222">
        <v>1000</v>
      </c>
      <c r="BD222">
        <v>46022</v>
      </c>
      <c r="BE222">
        <v>46058</v>
      </c>
    </row>
    <row r="223" spans="1:57" ht="15.2" customHeight="1" x14ac:dyDescent="0.25">
      <c r="A223" t="s">
        <v>967</v>
      </c>
      <c r="B223" t="s">
        <v>968</v>
      </c>
      <c r="C223" t="s">
        <v>969</v>
      </c>
      <c r="D223" t="s">
        <v>518</v>
      </c>
      <c r="E223" t="s">
        <v>420</v>
      </c>
      <c r="F223" t="s">
        <v>519</v>
      </c>
      <c r="G223" t="s">
        <v>421</v>
      </c>
      <c r="H223" t="s">
        <v>503</v>
      </c>
      <c r="I223" t="s">
        <v>422</v>
      </c>
      <c r="L223" t="s">
        <v>492</v>
      </c>
      <c r="N223" t="s">
        <v>520</v>
      </c>
      <c r="O223" t="s">
        <v>527</v>
      </c>
      <c r="P223" t="s">
        <v>440</v>
      </c>
      <c r="Q223" t="s">
        <v>51</v>
      </c>
      <c r="R223" t="s">
        <v>627</v>
      </c>
      <c r="S223" t="s">
        <v>422</v>
      </c>
      <c r="T223" t="s">
        <v>507</v>
      </c>
      <c r="W223">
        <v>46059.791666666664</v>
      </c>
      <c r="X223">
        <v>46069.875</v>
      </c>
      <c r="Y223">
        <v>46047</v>
      </c>
      <c r="Z223">
        <v>242</v>
      </c>
      <c r="AA223">
        <v>225.87</v>
      </c>
      <c r="AB223">
        <v>211.08</v>
      </c>
      <c r="AC223">
        <v>0</v>
      </c>
      <c r="AD223">
        <v>3.7</v>
      </c>
      <c r="AE223">
        <v>222.17000000000002</v>
      </c>
      <c r="AF223" t="s">
        <v>428</v>
      </c>
      <c r="AG223" t="s">
        <v>429</v>
      </c>
      <c r="AH223" t="s">
        <v>429</v>
      </c>
      <c r="AI223" t="s">
        <v>428</v>
      </c>
      <c r="AK223" t="s">
        <v>474</v>
      </c>
      <c r="AN223" t="s">
        <v>430</v>
      </c>
      <c r="AO223" t="s">
        <v>446</v>
      </c>
      <c r="AQ223">
        <v>6051801.1399999997</v>
      </c>
      <c r="AR223">
        <v>6051801.1399999997</v>
      </c>
      <c r="AS223">
        <v>12.6837</v>
      </c>
      <c r="AT223">
        <v>153</v>
      </c>
      <c r="AU223">
        <v>90</v>
      </c>
      <c r="AV223">
        <v>12.6837</v>
      </c>
      <c r="AW223">
        <v>153</v>
      </c>
      <c r="AX223">
        <v>90</v>
      </c>
      <c r="AY223">
        <v>0</v>
      </c>
      <c r="AZ223">
        <v>20.59</v>
      </c>
      <c r="BA223">
        <v>261</v>
      </c>
      <c r="BB223">
        <v>90</v>
      </c>
      <c r="BC223">
        <v>0</v>
      </c>
      <c r="BD223">
        <v>46059</v>
      </c>
      <c r="BE223">
        <v>46072</v>
      </c>
    </row>
    <row r="224" spans="1:57" ht="15.2" customHeight="1" x14ac:dyDescent="0.25">
      <c r="A224" t="s">
        <v>970</v>
      </c>
      <c r="B224" t="s">
        <v>971</v>
      </c>
      <c r="C224" t="s">
        <v>972</v>
      </c>
      <c r="D224" t="s">
        <v>518</v>
      </c>
      <c r="E224" t="s">
        <v>420</v>
      </c>
      <c r="F224" t="s">
        <v>519</v>
      </c>
      <c r="G224" t="s">
        <v>421</v>
      </c>
      <c r="H224" t="s">
        <v>503</v>
      </c>
      <c r="I224" t="s">
        <v>422</v>
      </c>
      <c r="L224" t="s">
        <v>492</v>
      </c>
      <c r="N224" t="s">
        <v>520</v>
      </c>
      <c r="O224" t="s">
        <v>527</v>
      </c>
      <c r="P224" t="s">
        <v>440</v>
      </c>
      <c r="Q224" t="s">
        <v>51</v>
      </c>
      <c r="R224" t="s">
        <v>627</v>
      </c>
      <c r="S224" t="s">
        <v>422</v>
      </c>
      <c r="T224" t="s">
        <v>507</v>
      </c>
      <c r="W224">
        <v>46041.708333333336</v>
      </c>
      <c r="X224">
        <v>46058.75</v>
      </c>
      <c r="Y224">
        <v>46043</v>
      </c>
      <c r="Z224">
        <v>409</v>
      </c>
      <c r="AA224">
        <v>381.73</v>
      </c>
      <c r="AB224">
        <v>358.28000000000003</v>
      </c>
      <c r="AC224">
        <v>173.5</v>
      </c>
      <c r="AD224">
        <v>188.20000000000002</v>
      </c>
      <c r="AE224">
        <v>193.53</v>
      </c>
      <c r="AF224" t="s">
        <v>428</v>
      </c>
      <c r="AG224" t="s">
        <v>429</v>
      </c>
      <c r="AH224" t="s">
        <v>428</v>
      </c>
      <c r="AI224" t="s">
        <v>428</v>
      </c>
      <c r="AK224" t="s">
        <v>474</v>
      </c>
      <c r="AM224" t="s">
        <v>485</v>
      </c>
      <c r="AN224" t="s">
        <v>445</v>
      </c>
      <c r="AO224" t="s">
        <v>446</v>
      </c>
      <c r="AQ224">
        <v>8706302.0800000001</v>
      </c>
      <c r="AR224">
        <v>8706302.0800000001</v>
      </c>
      <c r="AS224">
        <v>10.909600000000001</v>
      </c>
      <c r="AT224">
        <v>94</v>
      </c>
      <c r="AU224">
        <v>86</v>
      </c>
      <c r="AV224">
        <v>10.909600000000001</v>
      </c>
      <c r="AW224">
        <v>94</v>
      </c>
      <c r="AX224">
        <v>86</v>
      </c>
      <c r="AY224">
        <v>0</v>
      </c>
      <c r="AZ224">
        <v>10.909600000000001</v>
      </c>
      <c r="BA224">
        <v>94</v>
      </c>
      <c r="BB224">
        <v>86</v>
      </c>
      <c r="BC224">
        <v>0</v>
      </c>
      <c r="BD224">
        <v>46041</v>
      </c>
      <c r="BE224">
        <v>46052</v>
      </c>
    </row>
    <row r="225" spans="1:57" ht="15.2" customHeight="1" x14ac:dyDescent="0.25">
      <c r="A225" t="s">
        <v>973</v>
      </c>
      <c r="B225" t="s">
        <v>513</v>
      </c>
      <c r="C225" t="s">
        <v>500</v>
      </c>
      <c r="D225" t="s">
        <v>437</v>
      </c>
      <c r="E225" t="s">
        <v>420</v>
      </c>
      <c r="F225" t="s">
        <v>501</v>
      </c>
      <c r="G225" t="s">
        <v>502</v>
      </c>
      <c r="H225" t="s">
        <v>598</v>
      </c>
      <c r="I225" t="s">
        <v>422</v>
      </c>
      <c r="L225" t="s">
        <v>504</v>
      </c>
      <c r="N225" t="s">
        <v>424</v>
      </c>
      <c r="O225" t="s">
        <v>454</v>
      </c>
      <c r="P225" t="s">
        <v>440</v>
      </c>
      <c r="Q225" t="s">
        <v>974</v>
      </c>
      <c r="R225" t="s">
        <v>975</v>
      </c>
      <c r="S225" t="s">
        <v>422</v>
      </c>
      <c r="T225" t="s">
        <v>507</v>
      </c>
      <c r="W225">
        <v>46056.208333333336</v>
      </c>
      <c r="X225">
        <v>46056.541666666664</v>
      </c>
      <c r="Y225">
        <v>0</v>
      </c>
      <c r="Z225">
        <v>8</v>
      </c>
      <c r="AA225">
        <v>7.33</v>
      </c>
      <c r="AB225">
        <v>7.33</v>
      </c>
      <c r="AC225">
        <v>0</v>
      </c>
      <c r="AD225">
        <v>0</v>
      </c>
      <c r="AE225">
        <v>7.33</v>
      </c>
      <c r="AF225" t="s">
        <v>429</v>
      </c>
      <c r="AG225" t="s">
        <v>429</v>
      </c>
      <c r="AH225" t="s">
        <v>429</v>
      </c>
      <c r="AI225" t="s">
        <v>428</v>
      </c>
      <c r="AN225" t="s">
        <v>445</v>
      </c>
      <c r="AO225" t="s">
        <v>446</v>
      </c>
      <c r="AQ225">
        <v>167527.59</v>
      </c>
      <c r="AR225">
        <v>167527.59</v>
      </c>
      <c r="AS225">
        <v>72.641500000000008</v>
      </c>
      <c r="AT225">
        <v>87</v>
      </c>
      <c r="AU225">
        <v>2</v>
      </c>
      <c r="AV225">
        <v>72.641500000000008</v>
      </c>
      <c r="AW225">
        <v>87</v>
      </c>
      <c r="AX225">
        <v>2</v>
      </c>
      <c r="AY225">
        <v>0</v>
      </c>
      <c r="AZ225">
        <v>72.641500000000008</v>
      </c>
      <c r="BA225">
        <v>87</v>
      </c>
      <c r="BB225">
        <v>2</v>
      </c>
      <c r="BC225">
        <v>0</v>
      </c>
      <c r="BD225">
        <v>46056</v>
      </c>
      <c r="BE225">
        <v>46058</v>
      </c>
    </row>
    <row r="226" spans="1:57" ht="15.2" customHeight="1" x14ac:dyDescent="0.25">
      <c r="A226" t="s">
        <v>237</v>
      </c>
      <c r="B226" t="s">
        <v>976</v>
      </c>
      <c r="C226" t="s">
        <v>977</v>
      </c>
      <c r="D226" t="s">
        <v>768</v>
      </c>
      <c r="E226" t="s">
        <v>420</v>
      </c>
      <c r="F226" t="s">
        <v>769</v>
      </c>
      <c r="G226" t="s">
        <v>421</v>
      </c>
      <c r="H226" t="s">
        <v>618</v>
      </c>
      <c r="I226" t="s">
        <v>541</v>
      </c>
      <c r="L226" t="s">
        <v>492</v>
      </c>
      <c r="N226" t="s">
        <v>424</v>
      </c>
      <c r="O226" t="s">
        <v>513</v>
      </c>
      <c r="P226" t="s">
        <v>425</v>
      </c>
      <c r="Q226" t="s">
        <v>109</v>
      </c>
      <c r="R226" t="s">
        <v>978</v>
      </c>
      <c r="S226" t="s">
        <v>541</v>
      </c>
      <c r="T226" t="s">
        <v>507</v>
      </c>
      <c r="W226">
        <v>46050.708333333336</v>
      </c>
      <c r="X226">
        <v>46057.833333333336</v>
      </c>
      <c r="Y226">
        <v>46048</v>
      </c>
      <c r="Z226">
        <v>171</v>
      </c>
      <c r="AA226">
        <v>156.75</v>
      </c>
      <c r="AB226">
        <v>99.15</v>
      </c>
      <c r="AC226">
        <v>50</v>
      </c>
      <c r="AD226">
        <v>55</v>
      </c>
      <c r="AE226">
        <v>101.75</v>
      </c>
      <c r="AF226" t="s">
        <v>428</v>
      </c>
      <c r="AG226" t="s">
        <v>429</v>
      </c>
      <c r="AH226" t="s">
        <v>429</v>
      </c>
      <c r="AI226" t="s">
        <v>428</v>
      </c>
      <c r="AJ226" t="s">
        <v>474</v>
      </c>
      <c r="AK226" t="s">
        <v>474</v>
      </c>
      <c r="AN226" t="s">
        <v>498</v>
      </c>
      <c r="AO226" t="s">
        <v>446</v>
      </c>
      <c r="AQ226">
        <v>3251220.28</v>
      </c>
      <c r="AR226">
        <v>3251220.28</v>
      </c>
      <c r="AS226">
        <v>346.0976</v>
      </c>
      <c r="AT226">
        <v>538</v>
      </c>
      <c r="AU226">
        <v>22.400000000000002</v>
      </c>
      <c r="AV226">
        <v>168.22070000000002</v>
      </c>
      <c r="AW226">
        <v>267</v>
      </c>
      <c r="AX226">
        <v>24</v>
      </c>
      <c r="AY226">
        <v>0</v>
      </c>
      <c r="AZ226">
        <v>346.0976</v>
      </c>
      <c r="BA226">
        <v>538</v>
      </c>
      <c r="BB226">
        <v>22.400000000000002</v>
      </c>
      <c r="BC226">
        <v>0</v>
      </c>
      <c r="BD226">
        <v>46050</v>
      </c>
      <c r="BE226">
        <v>46060</v>
      </c>
    </row>
    <row r="227" spans="1:57" ht="15.2" customHeight="1" x14ac:dyDescent="0.25">
      <c r="A227" t="s">
        <v>327</v>
      </c>
      <c r="B227" t="s">
        <v>979</v>
      </c>
      <c r="C227" t="s">
        <v>977</v>
      </c>
      <c r="D227" t="s">
        <v>768</v>
      </c>
      <c r="E227" t="s">
        <v>420</v>
      </c>
      <c r="F227" t="s">
        <v>769</v>
      </c>
      <c r="G227" t="s">
        <v>421</v>
      </c>
      <c r="I227" t="s">
        <v>541</v>
      </c>
      <c r="L227" t="s">
        <v>492</v>
      </c>
      <c r="N227" t="s">
        <v>424</v>
      </c>
      <c r="P227" t="s">
        <v>425</v>
      </c>
      <c r="Q227" t="s">
        <v>765</v>
      </c>
      <c r="R227" t="s">
        <v>980</v>
      </c>
      <c r="S227" t="s">
        <v>541</v>
      </c>
      <c r="T227" t="s">
        <v>507</v>
      </c>
      <c r="W227">
        <v>0</v>
      </c>
      <c r="X227">
        <v>0</v>
      </c>
      <c r="Y227">
        <v>46064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 t="s">
        <v>428</v>
      </c>
      <c r="AG227" t="s">
        <v>429</v>
      </c>
      <c r="AH227" t="s">
        <v>429</v>
      </c>
      <c r="AI227" t="s">
        <v>429</v>
      </c>
      <c r="AJ227" t="s">
        <v>474</v>
      </c>
      <c r="AK227" t="s">
        <v>430</v>
      </c>
      <c r="AN227" t="s">
        <v>431</v>
      </c>
      <c r="AO227" t="s">
        <v>432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406</v>
      </c>
      <c r="BA227">
        <v>816</v>
      </c>
      <c r="BB227">
        <v>40</v>
      </c>
      <c r="BC227">
        <v>0</v>
      </c>
      <c r="BD227">
        <v>46064</v>
      </c>
      <c r="BE227">
        <v>46066</v>
      </c>
    </row>
    <row r="228" spans="1:57" ht="15.2" customHeight="1" x14ac:dyDescent="0.25">
      <c r="A228" t="s">
        <v>327</v>
      </c>
      <c r="B228" t="s">
        <v>979</v>
      </c>
      <c r="C228" t="s">
        <v>977</v>
      </c>
      <c r="D228" t="s">
        <v>768</v>
      </c>
      <c r="E228" t="s">
        <v>420</v>
      </c>
      <c r="F228" t="s">
        <v>769</v>
      </c>
      <c r="G228" t="s">
        <v>421</v>
      </c>
      <c r="I228" t="s">
        <v>541</v>
      </c>
      <c r="L228" t="s">
        <v>492</v>
      </c>
      <c r="N228" t="s">
        <v>424</v>
      </c>
      <c r="O228" t="s">
        <v>675</v>
      </c>
      <c r="P228" t="s">
        <v>425</v>
      </c>
      <c r="Q228" t="s">
        <v>83</v>
      </c>
      <c r="R228" t="s">
        <v>981</v>
      </c>
      <c r="S228" t="s">
        <v>541</v>
      </c>
      <c r="T228" t="s">
        <v>507</v>
      </c>
      <c r="W228">
        <v>46066.666666666664</v>
      </c>
      <c r="X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 t="s">
        <v>428</v>
      </c>
      <c r="AG228" t="s">
        <v>429</v>
      </c>
      <c r="AH228" t="s">
        <v>429</v>
      </c>
      <c r="AI228" t="s">
        <v>428</v>
      </c>
      <c r="AJ228" t="s">
        <v>474</v>
      </c>
      <c r="AK228" t="s">
        <v>474</v>
      </c>
      <c r="AN228" t="s">
        <v>430</v>
      </c>
      <c r="AO228" t="s">
        <v>446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406</v>
      </c>
      <c r="BA228">
        <v>816</v>
      </c>
      <c r="BB228">
        <v>3</v>
      </c>
      <c r="BC228">
        <v>0</v>
      </c>
      <c r="BD228">
        <v>46066</v>
      </c>
      <c r="BE228">
        <v>46073</v>
      </c>
    </row>
    <row r="229" spans="1:57" ht="15.2" customHeight="1" x14ac:dyDescent="0.25">
      <c r="A229" t="s">
        <v>327</v>
      </c>
      <c r="B229" t="s">
        <v>979</v>
      </c>
      <c r="C229" t="s">
        <v>977</v>
      </c>
      <c r="D229" t="s">
        <v>768</v>
      </c>
      <c r="E229" t="s">
        <v>420</v>
      </c>
      <c r="F229" t="s">
        <v>769</v>
      </c>
      <c r="G229" t="s">
        <v>421</v>
      </c>
      <c r="H229" t="s">
        <v>618</v>
      </c>
      <c r="I229" t="s">
        <v>541</v>
      </c>
      <c r="L229" t="s">
        <v>492</v>
      </c>
      <c r="N229" t="s">
        <v>424</v>
      </c>
      <c r="O229" t="s">
        <v>764</v>
      </c>
      <c r="P229" t="s">
        <v>425</v>
      </c>
      <c r="Q229" t="s">
        <v>765</v>
      </c>
      <c r="R229" t="s">
        <v>982</v>
      </c>
      <c r="T229" t="s">
        <v>507</v>
      </c>
      <c r="W229">
        <v>46058.5</v>
      </c>
      <c r="X229">
        <v>46060.416666666664</v>
      </c>
      <c r="Y229">
        <v>0</v>
      </c>
      <c r="Z229">
        <v>46</v>
      </c>
      <c r="AA229">
        <v>42.17</v>
      </c>
      <c r="AB229">
        <v>0</v>
      </c>
      <c r="AC229">
        <v>0</v>
      </c>
      <c r="AD229">
        <v>0</v>
      </c>
      <c r="AE229">
        <v>42.17</v>
      </c>
      <c r="AF229" t="s">
        <v>429</v>
      </c>
      <c r="AG229" t="s">
        <v>429</v>
      </c>
      <c r="AH229" t="s">
        <v>429</v>
      </c>
      <c r="AI229" t="s">
        <v>429</v>
      </c>
      <c r="AN229" t="s">
        <v>431</v>
      </c>
      <c r="AO229" t="s">
        <v>432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46059</v>
      </c>
      <c r="BE229">
        <v>46065</v>
      </c>
    </row>
    <row r="230" spans="1:57" ht="15.2" customHeight="1" x14ac:dyDescent="0.25">
      <c r="A230" t="s">
        <v>327</v>
      </c>
      <c r="B230" t="s">
        <v>979</v>
      </c>
      <c r="C230" t="s">
        <v>977</v>
      </c>
      <c r="D230" t="s">
        <v>768</v>
      </c>
      <c r="E230" t="s">
        <v>420</v>
      </c>
      <c r="F230" t="s">
        <v>769</v>
      </c>
      <c r="G230" t="s">
        <v>421</v>
      </c>
      <c r="L230" t="s">
        <v>492</v>
      </c>
      <c r="N230" t="s">
        <v>424</v>
      </c>
      <c r="O230" t="s">
        <v>477</v>
      </c>
      <c r="P230" t="s">
        <v>425</v>
      </c>
      <c r="Q230" t="s">
        <v>57</v>
      </c>
      <c r="R230" t="s">
        <v>983</v>
      </c>
      <c r="W230">
        <v>46053.541666666664</v>
      </c>
      <c r="X230">
        <v>46060.916666666664</v>
      </c>
      <c r="Z230">
        <v>177</v>
      </c>
      <c r="AA230">
        <v>162.25</v>
      </c>
      <c r="AB230">
        <v>162.25</v>
      </c>
      <c r="AC230">
        <v>0</v>
      </c>
      <c r="AD230">
        <v>9</v>
      </c>
      <c r="AE230">
        <v>153.25</v>
      </c>
      <c r="AF230" t="s">
        <v>428</v>
      </c>
      <c r="AG230" t="s">
        <v>429</v>
      </c>
      <c r="AH230" t="s">
        <v>429</v>
      </c>
      <c r="AI230" t="s">
        <v>428</v>
      </c>
      <c r="AJ230" t="s">
        <v>474</v>
      </c>
      <c r="AK230" t="s">
        <v>474</v>
      </c>
      <c r="AN230" t="s">
        <v>498</v>
      </c>
      <c r="AO230" t="s">
        <v>446</v>
      </c>
      <c r="AQ230">
        <v>1657591.83</v>
      </c>
      <c r="AR230">
        <v>1657591.83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406</v>
      </c>
      <c r="BA230">
        <v>816</v>
      </c>
      <c r="BB230">
        <v>40</v>
      </c>
      <c r="BC230">
        <v>0</v>
      </c>
      <c r="BD230">
        <v>46048</v>
      </c>
      <c r="BE230">
        <v>46057</v>
      </c>
    </row>
    <row r="231" spans="1:57" ht="15.2" customHeight="1" x14ac:dyDescent="0.25">
      <c r="A231" t="s">
        <v>183</v>
      </c>
      <c r="B231" t="s">
        <v>984</v>
      </c>
      <c r="D231" t="s">
        <v>768</v>
      </c>
      <c r="E231" t="s">
        <v>420</v>
      </c>
      <c r="G231" t="s">
        <v>421</v>
      </c>
      <c r="I231" t="s">
        <v>422</v>
      </c>
      <c r="L231" t="s">
        <v>423</v>
      </c>
      <c r="N231" t="s">
        <v>424</v>
      </c>
      <c r="O231" t="s">
        <v>536</v>
      </c>
      <c r="P231" t="s">
        <v>425</v>
      </c>
      <c r="Q231" t="s">
        <v>97</v>
      </c>
      <c r="R231" t="s">
        <v>985</v>
      </c>
      <c r="T231" t="s">
        <v>427</v>
      </c>
      <c r="W231">
        <v>46070.416666666664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 t="s">
        <v>428</v>
      </c>
      <c r="AG231" t="s">
        <v>429</v>
      </c>
      <c r="AH231" t="s">
        <v>429</v>
      </c>
      <c r="AI231" t="s">
        <v>429</v>
      </c>
      <c r="AJ231" t="s">
        <v>474</v>
      </c>
      <c r="AK231" t="s">
        <v>430</v>
      </c>
      <c r="AN231" t="s">
        <v>431</v>
      </c>
      <c r="AO231" t="s">
        <v>432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46047</v>
      </c>
      <c r="BE231">
        <v>46068</v>
      </c>
    </row>
    <row r="232" spans="1:57" ht="15.2" customHeight="1" x14ac:dyDescent="0.25">
      <c r="A232" t="s">
        <v>183</v>
      </c>
      <c r="B232" t="s">
        <v>984</v>
      </c>
      <c r="D232" t="s">
        <v>768</v>
      </c>
      <c r="E232" t="s">
        <v>420</v>
      </c>
      <c r="G232" t="s">
        <v>421</v>
      </c>
      <c r="I232" t="s">
        <v>422</v>
      </c>
      <c r="L232" t="s">
        <v>423</v>
      </c>
      <c r="N232" t="s">
        <v>424</v>
      </c>
      <c r="P232" t="s">
        <v>425</v>
      </c>
      <c r="Q232" t="s">
        <v>184</v>
      </c>
      <c r="R232" t="s">
        <v>986</v>
      </c>
      <c r="T232" t="s">
        <v>427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 t="s">
        <v>428</v>
      </c>
      <c r="AG232" t="s">
        <v>429</v>
      </c>
      <c r="AH232" t="s">
        <v>429</v>
      </c>
      <c r="AI232" t="s">
        <v>429</v>
      </c>
      <c r="AJ232" t="s">
        <v>474</v>
      </c>
      <c r="AK232" t="s">
        <v>474</v>
      </c>
      <c r="AN232" t="s">
        <v>431</v>
      </c>
      <c r="AO232" t="s">
        <v>432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800</v>
      </c>
      <c r="BB232">
        <v>0</v>
      </c>
      <c r="BC232">
        <v>0</v>
      </c>
      <c r="BD232">
        <v>46051</v>
      </c>
      <c r="BE232">
        <v>46072</v>
      </c>
    </row>
    <row r="233" spans="1:57" ht="15.2" customHeight="1" x14ac:dyDescent="0.25">
      <c r="A233" t="s">
        <v>183</v>
      </c>
      <c r="B233" t="s">
        <v>984</v>
      </c>
      <c r="D233" t="s">
        <v>768</v>
      </c>
      <c r="E233" t="s">
        <v>420</v>
      </c>
      <c r="G233" t="s">
        <v>421</v>
      </c>
      <c r="I233" t="s">
        <v>422</v>
      </c>
      <c r="L233" t="s">
        <v>423</v>
      </c>
      <c r="N233" t="s">
        <v>424</v>
      </c>
      <c r="O233" t="s">
        <v>536</v>
      </c>
      <c r="P233" t="s">
        <v>425</v>
      </c>
      <c r="Q233" t="s">
        <v>184</v>
      </c>
      <c r="R233" t="s">
        <v>987</v>
      </c>
      <c r="T233" t="s">
        <v>427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 t="s">
        <v>428</v>
      </c>
      <c r="AG233" t="s">
        <v>429</v>
      </c>
      <c r="AH233" t="s">
        <v>429</v>
      </c>
      <c r="AI233" t="s">
        <v>429</v>
      </c>
      <c r="AJ233" t="s">
        <v>474</v>
      </c>
      <c r="AK233" t="s">
        <v>430</v>
      </c>
      <c r="AN233" t="s">
        <v>431</v>
      </c>
      <c r="AO233" t="s">
        <v>432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46032</v>
      </c>
      <c r="BE233">
        <v>46068</v>
      </c>
    </row>
    <row r="234" spans="1:57" ht="15.2" customHeight="1" x14ac:dyDescent="0.25">
      <c r="A234" t="s">
        <v>988</v>
      </c>
      <c r="B234" t="s">
        <v>989</v>
      </c>
      <c r="C234" t="s">
        <v>990</v>
      </c>
      <c r="D234" t="s">
        <v>910</v>
      </c>
      <c r="E234" t="s">
        <v>420</v>
      </c>
      <c r="F234" t="s">
        <v>911</v>
      </c>
      <c r="G234" t="s">
        <v>421</v>
      </c>
      <c r="H234" t="s">
        <v>579</v>
      </c>
      <c r="I234" t="s">
        <v>422</v>
      </c>
      <c r="L234" t="s">
        <v>580</v>
      </c>
      <c r="N234" t="s">
        <v>520</v>
      </c>
      <c r="O234" t="s">
        <v>39</v>
      </c>
      <c r="P234" t="s">
        <v>425</v>
      </c>
      <c r="Q234" t="s">
        <v>50</v>
      </c>
      <c r="R234" t="s">
        <v>991</v>
      </c>
      <c r="S234" t="s">
        <v>471</v>
      </c>
      <c r="T234" t="s">
        <v>582</v>
      </c>
      <c r="W234">
        <v>46055.375</v>
      </c>
      <c r="X234">
        <v>46060.375</v>
      </c>
      <c r="Y234">
        <v>45753</v>
      </c>
      <c r="Z234">
        <v>120</v>
      </c>
      <c r="AA234">
        <v>112</v>
      </c>
      <c r="AB234">
        <v>107.24000000000001</v>
      </c>
      <c r="AC234">
        <v>12.200000000000001</v>
      </c>
      <c r="AD234">
        <v>19.400000000000002</v>
      </c>
      <c r="AE234">
        <v>92.600000000000009</v>
      </c>
      <c r="AF234" t="s">
        <v>428</v>
      </c>
      <c r="AG234" t="s">
        <v>429</v>
      </c>
      <c r="AH234" t="s">
        <v>429</v>
      </c>
      <c r="AI234" t="s">
        <v>428</v>
      </c>
      <c r="AJ234" t="s">
        <v>474</v>
      </c>
      <c r="AK234" t="s">
        <v>474</v>
      </c>
      <c r="AN234" t="s">
        <v>430</v>
      </c>
      <c r="AO234" t="s">
        <v>446</v>
      </c>
      <c r="AQ234">
        <v>2469573.08</v>
      </c>
      <c r="AR234">
        <v>2469573.08</v>
      </c>
      <c r="AS234">
        <v>0</v>
      </c>
      <c r="AT234">
        <v>0</v>
      </c>
      <c r="AU234">
        <v>0</v>
      </c>
      <c r="AV234">
        <v>0</v>
      </c>
      <c r="AW234">
        <v>5</v>
      </c>
      <c r="AX234">
        <v>100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46054</v>
      </c>
      <c r="BE234">
        <v>46068</v>
      </c>
    </row>
    <row r="235" spans="1:57" ht="15.2" customHeight="1" x14ac:dyDescent="0.25">
      <c r="A235" t="s">
        <v>992</v>
      </c>
      <c r="B235" t="s">
        <v>993</v>
      </c>
      <c r="C235" t="s">
        <v>994</v>
      </c>
      <c r="D235" t="s">
        <v>467</v>
      </c>
      <c r="E235" t="s">
        <v>420</v>
      </c>
      <c r="F235" t="s">
        <v>468</v>
      </c>
      <c r="G235" t="s">
        <v>469</v>
      </c>
      <c r="H235" t="s">
        <v>995</v>
      </c>
      <c r="I235" t="s">
        <v>541</v>
      </c>
      <c r="L235" t="s">
        <v>472</v>
      </c>
      <c r="N235" t="s">
        <v>424</v>
      </c>
      <c r="P235" t="s">
        <v>425</v>
      </c>
      <c r="Q235" t="s">
        <v>144</v>
      </c>
      <c r="R235" t="s">
        <v>996</v>
      </c>
      <c r="T235" t="s">
        <v>507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 t="s">
        <v>428</v>
      </c>
      <c r="AG235" t="s">
        <v>429</v>
      </c>
      <c r="AH235" t="s">
        <v>429</v>
      </c>
      <c r="AI235" t="s">
        <v>429</v>
      </c>
      <c r="AJ235" t="s">
        <v>474</v>
      </c>
      <c r="AK235" t="s">
        <v>430</v>
      </c>
      <c r="AN235" t="s">
        <v>431</v>
      </c>
      <c r="AO235" t="s">
        <v>432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100000</v>
      </c>
      <c r="BB235">
        <v>0</v>
      </c>
      <c r="BC235">
        <v>0</v>
      </c>
      <c r="BD235">
        <v>46068</v>
      </c>
      <c r="BE235">
        <v>46096</v>
      </c>
    </row>
    <row r="236" spans="1:57" ht="15.2" customHeight="1" x14ac:dyDescent="0.25">
      <c r="A236" t="s">
        <v>99</v>
      </c>
      <c r="B236" t="s">
        <v>997</v>
      </c>
      <c r="C236" t="s">
        <v>521</v>
      </c>
      <c r="D236" t="s">
        <v>419</v>
      </c>
      <c r="E236" t="s">
        <v>420</v>
      </c>
      <c r="F236" t="s">
        <v>589</v>
      </c>
      <c r="G236" t="s">
        <v>421</v>
      </c>
      <c r="I236" t="s">
        <v>541</v>
      </c>
      <c r="L236" t="s">
        <v>492</v>
      </c>
      <c r="N236" t="s">
        <v>424</v>
      </c>
      <c r="P236" t="s">
        <v>425</v>
      </c>
      <c r="Q236" t="s">
        <v>793</v>
      </c>
      <c r="R236" t="s">
        <v>998</v>
      </c>
      <c r="T236" t="s">
        <v>672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 t="s">
        <v>428</v>
      </c>
      <c r="AG236" t="s">
        <v>429</v>
      </c>
      <c r="AH236" t="s">
        <v>429</v>
      </c>
      <c r="AI236" t="s">
        <v>429</v>
      </c>
      <c r="AJ236" t="s">
        <v>474</v>
      </c>
      <c r="AK236" t="s">
        <v>474</v>
      </c>
      <c r="AN236" t="s">
        <v>431</v>
      </c>
      <c r="AO236" t="s">
        <v>432</v>
      </c>
      <c r="AQ236">
        <v>0</v>
      </c>
      <c r="AR236">
        <v>0</v>
      </c>
      <c r="AS236">
        <v>0</v>
      </c>
      <c r="AT236">
        <v>682000</v>
      </c>
      <c r="AU236">
        <v>0</v>
      </c>
      <c r="AV236">
        <v>0</v>
      </c>
      <c r="AW236">
        <v>682000</v>
      </c>
      <c r="AX236">
        <v>0</v>
      </c>
      <c r="AY236">
        <v>0</v>
      </c>
      <c r="AZ236">
        <v>0</v>
      </c>
      <c r="BA236">
        <v>900000</v>
      </c>
      <c r="BB236">
        <v>0</v>
      </c>
      <c r="BC236">
        <v>0</v>
      </c>
      <c r="BD236">
        <v>46052</v>
      </c>
      <c r="BE236">
        <v>46063</v>
      </c>
    </row>
    <row r="237" spans="1:57" ht="15.2" customHeight="1" x14ac:dyDescent="0.25">
      <c r="A237" t="s">
        <v>142</v>
      </c>
      <c r="B237" t="s">
        <v>999</v>
      </c>
      <c r="C237" t="s">
        <v>1000</v>
      </c>
      <c r="D237" t="s">
        <v>482</v>
      </c>
      <c r="E237" t="s">
        <v>420</v>
      </c>
      <c r="F237" t="s">
        <v>769</v>
      </c>
      <c r="G237" t="s">
        <v>421</v>
      </c>
      <c r="H237" t="s">
        <v>618</v>
      </c>
      <c r="I237" t="s">
        <v>541</v>
      </c>
      <c r="L237" t="s">
        <v>492</v>
      </c>
      <c r="N237" t="s">
        <v>424</v>
      </c>
      <c r="O237" t="s">
        <v>629</v>
      </c>
      <c r="P237" t="s">
        <v>425</v>
      </c>
      <c r="Q237" t="s">
        <v>48</v>
      </c>
      <c r="R237" t="s">
        <v>1001</v>
      </c>
      <c r="T237" t="s">
        <v>672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 t="s">
        <v>429</v>
      </c>
      <c r="AG237" t="s">
        <v>429</v>
      </c>
      <c r="AH237" t="s">
        <v>429</v>
      </c>
      <c r="AI237" t="s">
        <v>429</v>
      </c>
      <c r="AN237" t="s">
        <v>431</v>
      </c>
      <c r="AO237" t="s">
        <v>432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42</v>
      </c>
      <c r="BA237">
        <v>112</v>
      </c>
      <c r="BB237">
        <v>0</v>
      </c>
      <c r="BC237">
        <v>0</v>
      </c>
      <c r="BD237">
        <v>46080</v>
      </c>
      <c r="BE237">
        <v>46101</v>
      </c>
    </row>
    <row r="238" spans="1:57" ht="15.2" customHeight="1" x14ac:dyDescent="0.25">
      <c r="A238" t="s">
        <v>1002</v>
      </c>
      <c r="B238" t="s">
        <v>1003</v>
      </c>
      <c r="D238" t="s">
        <v>1004</v>
      </c>
      <c r="E238" t="s">
        <v>420</v>
      </c>
      <c r="G238" t="s">
        <v>421</v>
      </c>
      <c r="L238" t="s">
        <v>1005</v>
      </c>
      <c r="N238" t="s">
        <v>424</v>
      </c>
      <c r="O238" t="s">
        <v>477</v>
      </c>
      <c r="P238" t="s">
        <v>425</v>
      </c>
      <c r="Q238" t="s">
        <v>96</v>
      </c>
      <c r="R238" t="s">
        <v>1006</v>
      </c>
      <c r="W238">
        <v>46060.916666666664</v>
      </c>
      <c r="X238">
        <v>46066.875</v>
      </c>
      <c r="Z238">
        <v>143</v>
      </c>
      <c r="AA238">
        <v>131.08000000000001</v>
      </c>
      <c r="AB238">
        <v>130.75</v>
      </c>
      <c r="AC238">
        <v>0</v>
      </c>
      <c r="AD238">
        <v>5</v>
      </c>
      <c r="AE238">
        <v>126.08</v>
      </c>
      <c r="AF238" t="s">
        <v>429</v>
      </c>
      <c r="AG238" t="s">
        <v>429</v>
      </c>
      <c r="AH238" t="s">
        <v>429</v>
      </c>
      <c r="AI238" t="s">
        <v>428</v>
      </c>
      <c r="AN238" t="s">
        <v>430</v>
      </c>
      <c r="AO238" t="s">
        <v>446</v>
      </c>
      <c r="AQ238">
        <v>1481754.16</v>
      </c>
      <c r="AR238">
        <v>1481754.16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46060</v>
      </c>
      <c r="BE238">
        <v>46065</v>
      </c>
    </row>
    <row r="239" spans="1:57" ht="15.2" customHeight="1" x14ac:dyDescent="0.25">
      <c r="A239" t="s">
        <v>1007</v>
      </c>
      <c r="B239" t="s">
        <v>1008</v>
      </c>
      <c r="C239" t="s">
        <v>1009</v>
      </c>
      <c r="D239" t="s">
        <v>518</v>
      </c>
      <c r="E239" t="s">
        <v>420</v>
      </c>
      <c r="F239" t="s">
        <v>519</v>
      </c>
      <c r="G239" t="s">
        <v>421</v>
      </c>
      <c r="H239" t="s">
        <v>544</v>
      </c>
      <c r="I239" t="s">
        <v>422</v>
      </c>
      <c r="L239" t="s">
        <v>492</v>
      </c>
      <c r="N239" t="s">
        <v>424</v>
      </c>
      <c r="P239" t="s">
        <v>425</v>
      </c>
      <c r="Q239" t="s">
        <v>109</v>
      </c>
      <c r="R239" t="s">
        <v>1010</v>
      </c>
      <c r="S239" t="s">
        <v>422</v>
      </c>
      <c r="T239" t="s">
        <v>507</v>
      </c>
      <c r="W239">
        <v>0</v>
      </c>
      <c r="X239">
        <v>0</v>
      </c>
      <c r="Y239">
        <v>45318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428</v>
      </c>
      <c r="AG239" t="s">
        <v>429</v>
      </c>
      <c r="AH239" t="s">
        <v>429</v>
      </c>
      <c r="AI239" t="s">
        <v>429</v>
      </c>
      <c r="AJ239" t="s">
        <v>474</v>
      </c>
      <c r="AK239" t="s">
        <v>474</v>
      </c>
      <c r="AN239" t="s">
        <v>431</v>
      </c>
      <c r="AO239" t="s">
        <v>432</v>
      </c>
      <c r="AQ239">
        <v>0</v>
      </c>
      <c r="AR239">
        <v>0</v>
      </c>
      <c r="AS239">
        <v>15.1707</v>
      </c>
      <c r="AT239">
        <v>61</v>
      </c>
      <c r="AU239">
        <v>70</v>
      </c>
      <c r="AV239">
        <v>15.1707</v>
      </c>
      <c r="AW239">
        <v>61</v>
      </c>
      <c r="AX239">
        <v>70</v>
      </c>
      <c r="AY239">
        <v>0</v>
      </c>
      <c r="AZ239">
        <v>15.1707</v>
      </c>
      <c r="BA239">
        <v>61</v>
      </c>
      <c r="BB239">
        <v>70</v>
      </c>
      <c r="BC239">
        <v>0</v>
      </c>
      <c r="BD239">
        <v>46053</v>
      </c>
      <c r="BE239">
        <v>46058</v>
      </c>
    </row>
    <row r="240" spans="1:57" ht="15.2" customHeight="1" x14ac:dyDescent="0.25">
      <c r="A240" t="s">
        <v>1011</v>
      </c>
      <c r="B240" t="s">
        <v>1012</v>
      </c>
      <c r="C240" t="s">
        <v>1013</v>
      </c>
      <c r="D240" t="s">
        <v>730</v>
      </c>
      <c r="E240" t="s">
        <v>420</v>
      </c>
      <c r="F240" t="s">
        <v>731</v>
      </c>
      <c r="G240" t="s">
        <v>421</v>
      </c>
      <c r="H240" t="s">
        <v>579</v>
      </c>
      <c r="I240" t="s">
        <v>422</v>
      </c>
      <c r="L240" t="s">
        <v>492</v>
      </c>
      <c r="N240" t="s">
        <v>424</v>
      </c>
      <c r="P240" t="s">
        <v>440</v>
      </c>
      <c r="Q240" t="s">
        <v>51</v>
      </c>
      <c r="R240" t="s">
        <v>522</v>
      </c>
      <c r="T240" t="s">
        <v>507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428</v>
      </c>
      <c r="AG240" t="s">
        <v>429</v>
      </c>
      <c r="AH240" t="s">
        <v>428</v>
      </c>
      <c r="AI240" t="s">
        <v>429</v>
      </c>
      <c r="AK240" t="s">
        <v>430</v>
      </c>
      <c r="AM240" t="s">
        <v>430</v>
      </c>
      <c r="AN240" t="s">
        <v>431</v>
      </c>
      <c r="AO240" t="s">
        <v>432</v>
      </c>
      <c r="AQ240">
        <v>0</v>
      </c>
      <c r="AR240">
        <v>0</v>
      </c>
      <c r="AS240">
        <v>2.9372000000000003</v>
      </c>
      <c r="AT240">
        <v>82</v>
      </c>
      <c r="AU240">
        <v>95.7</v>
      </c>
      <c r="AV240">
        <v>2.9372000000000003</v>
      </c>
      <c r="AW240">
        <v>82</v>
      </c>
      <c r="AX240">
        <v>95.7</v>
      </c>
      <c r="AY240">
        <v>0</v>
      </c>
      <c r="AZ240">
        <v>2.9372000000000003</v>
      </c>
      <c r="BA240">
        <v>82</v>
      </c>
      <c r="BB240">
        <v>95.7</v>
      </c>
      <c r="BC240">
        <v>0</v>
      </c>
      <c r="BD240">
        <v>46049</v>
      </c>
      <c r="BE240">
        <v>46078</v>
      </c>
    </row>
    <row r="241" spans="1:57" ht="15.2" customHeight="1" x14ac:dyDescent="0.25">
      <c r="A241" t="s">
        <v>1014</v>
      </c>
      <c r="B241" t="s">
        <v>1015</v>
      </c>
      <c r="C241" t="s">
        <v>1016</v>
      </c>
      <c r="D241" t="s">
        <v>730</v>
      </c>
      <c r="E241" t="s">
        <v>420</v>
      </c>
      <c r="F241" t="s">
        <v>731</v>
      </c>
      <c r="G241" t="s">
        <v>421</v>
      </c>
      <c r="H241" t="s">
        <v>579</v>
      </c>
      <c r="I241" t="s">
        <v>422</v>
      </c>
      <c r="L241" t="s">
        <v>492</v>
      </c>
      <c r="N241" t="s">
        <v>424</v>
      </c>
      <c r="O241" t="s">
        <v>751</v>
      </c>
      <c r="P241" t="s">
        <v>440</v>
      </c>
      <c r="Q241" t="s">
        <v>51</v>
      </c>
      <c r="R241" t="s">
        <v>1017</v>
      </c>
      <c r="S241" t="s">
        <v>422</v>
      </c>
      <c r="T241" t="s">
        <v>507</v>
      </c>
      <c r="W241">
        <v>46028.708333333336</v>
      </c>
      <c r="X241">
        <v>46055.541666666664</v>
      </c>
      <c r="Y241">
        <v>46027</v>
      </c>
      <c r="Z241">
        <v>644</v>
      </c>
      <c r="AA241">
        <v>590.33000000000004</v>
      </c>
      <c r="AB241">
        <v>584.64</v>
      </c>
      <c r="AC241">
        <v>378.76</v>
      </c>
      <c r="AD241">
        <v>398.76</v>
      </c>
      <c r="AE241">
        <v>191.57</v>
      </c>
      <c r="AF241" t="s">
        <v>428</v>
      </c>
      <c r="AG241" t="s">
        <v>429</v>
      </c>
      <c r="AH241" t="s">
        <v>429</v>
      </c>
      <c r="AI241" t="s">
        <v>428</v>
      </c>
      <c r="AK241" t="s">
        <v>474</v>
      </c>
      <c r="AN241" t="s">
        <v>498</v>
      </c>
      <c r="AO241" t="s">
        <v>446</v>
      </c>
      <c r="AQ241">
        <v>13625244.789999999</v>
      </c>
      <c r="AR241">
        <v>13625244.789999999</v>
      </c>
      <c r="AS241">
        <v>39.033500000000004</v>
      </c>
      <c r="AT241">
        <v>47</v>
      </c>
      <c r="AU241">
        <v>0.3</v>
      </c>
      <c r="AV241">
        <v>39.033500000000004</v>
      </c>
      <c r="AW241">
        <v>47</v>
      </c>
      <c r="AX241">
        <v>0.3</v>
      </c>
      <c r="AY241">
        <v>0</v>
      </c>
      <c r="AZ241">
        <v>40.700000000000003</v>
      </c>
      <c r="BA241">
        <v>54.9</v>
      </c>
      <c r="BB241">
        <v>10.6</v>
      </c>
      <c r="BC241">
        <v>0</v>
      </c>
      <c r="BD241">
        <v>46037</v>
      </c>
      <c r="BE241">
        <v>46039</v>
      </c>
    </row>
    <row r="242" spans="1:57" ht="15.2" customHeight="1" x14ac:dyDescent="0.25">
      <c r="B242" t="s">
        <v>1018</v>
      </c>
      <c r="C242" t="s">
        <v>994</v>
      </c>
      <c r="D242" t="s">
        <v>1019</v>
      </c>
      <c r="E242" t="s">
        <v>420</v>
      </c>
      <c r="F242" t="s">
        <v>589</v>
      </c>
      <c r="G242" t="s">
        <v>421</v>
      </c>
      <c r="N242" t="s">
        <v>424</v>
      </c>
      <c r="O242" t="s">
        <v>692</v>
      </c>
      <c r="P242" t="s">
        <v>425</v>
      </c>
      <c r="Q242" t="s">
        <v>144</v>
      </c>
      <c r="R242" t="s">
        <v>1020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 t="s">
        <v>428</v>
      </c>
      <c r="AG242" t="s">
        <v>429</v>
      </c>
      <c r="AH242" t="s">
        <v>429</v>
      </c>
      <c r="AI242" t="s">
        <v>429</v>
      </c>
      <c r="AJ242" t="s">
        <v>474</v>
      </c>
      <c r="AK242" t="s">
        <v>474</v>
      </c>
      <c r="AN242" t="s">
        <v>431</v>
      </c>
      <c r="AO242" t="s">
        <v>432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46063</v>
      </c>
      <c r="BE242">
        <v>46095</v>
      </c>
    </row>
    <row r="243" spans="1:57" ht="15.2" customHeight="1" x14ac:dyDescent="0.25">
      <c r="B243" t="s">
        <v>1018</v>
      </c>
      <c r="C243" t="s">
        <v>994</v>
      </c>
      <c r="D243" t="s">
        <v>1019</v>
      </c>
      <c r="E243" t="s">
        <v>420</v>
      </c>
      <c r="F243" t="s">
        <v>589</v>
      </c>
      <c r="G243" t="s">
        <v>421</v>
      </c>
      <c r="N243" t="s">
        <v>424</v>
      </c>
      <c r="P243" t="s">
        <v>440</v>
      </c>
      <c r="Q243" t="s">
        <v>1021</v>
      </c>
      <c r="R243" t="s">
        <v>1022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 t="s">
        <v>428</v>
      </c>
      <c r="AG243" t="s">
        <v>429</v>
      </c>
      <c r="AH243" t="s">
        <v>429</v>
      </c>
      <c r="AI243" t="s">
        <v>429</v>
      </c>
      <c r="AK243" t="s">
        <v>485</v>
      </c>
      <c r="AN243" t="s">
        <v>431</v>
      </c>
      <c r="AO243" t="s">
        <v>432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46071</v>
      </c>
      <c r="BE243">
        <v>46072</v>
      </c>
    </row>
    <row r="244" spans="1:57" ht="15.2" customHeight="1" x14ac:dyDescent="0.25">
      <c r="A244" t="s">
        <v>1023</v>
      </c>
      <c r="B244" t="s">
        <v>1024</v>
      </c>
      <c r="C244" t="s">
        <v>1018</v>
      </c>
      <c r="D244" t="s">
        <v>489</v>
      </c>
      <c r="E244" t="s">
        <v>420</v>
      </c>
      <c r="F244" t="s">
        <v>622</v>
      </c>
      <c r="G244" t="s">
        <v>469</v>
      </c>
      <c r="I244" t="s">
        <v>422</v>
      </c>
      <c r="L244" t="s">
        <v>492</v>
      </c>
      <c r="N244" t="s">
        <v>424</v>
      </c>
      <c r="P244" t="s">
        <v>440</v>
      </c>
      <c r="Q244" t="s">
        <v>51</v>
      </c>
      <c r="R244" t="s">
        <v>627</v>
      </c>
      <c r="T244" t="s">
        <v>507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428</v>
      </c>
      <c r="AG244" t="s">
        <v>429</v>
      </c>
      <c r="AH244" t="s">
        <v>428</v>
      </c>
      <c r="AI244" t="s">
        <v>429</v>
      </c>
      <c r="AK244" t="s">
        <v>430</v>
      </c>
      <c r="AM244" t="s">
        <v>485</v>
      </c>
      <c r="AN244" t="s">
        <v>431</v>
      </c>
      <c r="AO244" t="s">
        <v>432</v>
      </c>
      <c r="AQ244">
        <v>0</v>
      </c>
      <c r="AR244">
        <v>0</v>
      </c>
      <c r="AS244">
        <v>20.344000000000001</v>
      </c>
      <c r="AT244">
        <v>54</v>
      </c>
      <c r="AU244">
        <v>54</v>
      </c>
      <c r="AV244">
        <v>20.344000000000001</v>
      </c>
      <c r="AW244">
        <v>54</v>
      </c>
      <c r="AX244">
        <v>54</v>
      </c>
      <c r="AY244">
        <v>0</v>
      </c>
      <c r="AZ244">
        <v>20.344000000000001</v>
      </c>
      <c r="BA244">
        <v>54</v>
      </c>
      <c r="BB244">
        <v>54</v>
      </c>
      <c r="BC244">
        <v>0</v>
      </c>
      <c r="BD244">
        <v>46051</v>
      </c>
      <c r="BE244">
        <v>46060</v>
      </c>
    </row>
    <row r="245" spans="1:57" ht="15.2" customHeight="1" x14ac:dyDescent="0.25">
      <c r="A245" t="s">
        <v>1025</v>
      </c>
      <c r="B245" t="s">
        <v>1026</v>
      </c>
      <c r="C245" t="s">
        <v>763</v>
      </c>
      <c r="D245" t="s">
        <v>518</v>
      </c>
      <c r="E245" t="s">
        <v>420</v>
      </c>
      <c r="F245" t="s">
        <v>519</v>
      </c>
      <c r="G245" t="s">
        <v>421</v>
      </c>
      <c r="H245" t="s">
        <v>503</v>
      </c>
      <c r="I245" t="s">
        <v>422</v>
      </c>
      <c r="L245" t="s">
        <v>492</v>
      </c>
      <c r="N245" t="s">
        <v>520</v>
      </c>
      <c r="O245" t="s">
        <v>517</v>
      </c>
      <c r="P245" t="s">
        <v>440</v>
      </c>
      <c r="Q245" t="s">
        <v>51</v>
      </c>
      <c r="R245" t="s">
        <v>1027</v>
      </c>
      <c r="S245" t="s">
        <v>422</v>
      </c>
      <c r="T245" t="s">
        <v>507</v>
      </c>
      <c r="W245">
        <v>46039.791666666664</v>
      </c>
      <c r="X245">
        <v>46055.25</v>
      </c>
      <c r="Y245">
        <v>44308</v>
      </c>
      <c r="Z245">
        <v>371</v>
      </c>
      <c r="AA245">
        <v>346.27</v>
      </c>
      <c r="AB245">
        <v>346.14</v>
      </c>
      <c r="AC245">
        <v>183.4</v>
      </c>
      <c r="AD245">
        <v>187.4</v>
      </c>
      <c r="AE245">
        <v>158.87</v>
      </c>
      <c r="AF245" t="s">
        <v>428</v>
      </c>
      <c r="AG245" t="s">
        <v>429</v>
      </c>
      <c r="AH245" t="s">
        <v>429</v>
      </c>
      <c r="AI245" t="s">
        <v>428</v>
      </c>
      <c r="AK245" t="s">
        <v>474</v>
      </c>
      <c r="AN245" t="s">
        <v>445</v>
      </c>
      <c r="AO245" t="s">
        <v>446</v>
      </c>
      <c r="AQ245">
        <v>8454156.7599999998</v>
      </c>
      <c r="AR245">
        <v>8454156.7599999998</v>
      </c>
      <c r="AS245">
        <v>5.8029999999999999</v>
      </c>
      <c r="AT245">
        <v>35</v>
      </c>
      <c r="AU245">
        <v>80</v>
      </c>
      <c r="AV245">
        <v>5.8029999999999999</v>
      </c>
      <c r="AW245">
        <v>35</v>
      </c>
      <c r="AX245">
        <v>80</v>
      </c>
      <c r="AY245">
        <v>0</v>
      </c>
      <c r="AZ245">
        <v>9.2000000000000011</v>
      </c>
      <c r="BA245">
        <v>24.7</v>
      </c>
      <c r="BB245">
        <v>55</v>
      </c>
      <c r="BC245">
        <v>0</v>
      </c>
      <c r="BD245">
        <v>46039</v>
      </c>
      <c r="BE245">
        <v>46052</v>
      </c>
    </row>
    <row r="246" spans="1:57" ht="15.2" customHeight="1" x14ac:dyDescent="0.25">
      <c r="A246" t="s">
        <v>1028</v>
      </c>
      <c r="B246" t="s">
        <v>1029</v>
      </c>
      <c r="C246" t="s">
        <v>577</v>
      </c>
      <c r="D246" t="s">
        <v>518</v>
      </c>
      <c r="E246" t="s">
        <v>420</v>
      </c>
      <c r="F246" t="s">
        <v>519</v>
      </c>
      <c r="G246" t="s">
        <v>421</v>
      </c>
      <c r="H246" t="s">
        <v>503</v>
      </c>
      <c r="I246" t="s">
        <v>422</v>
      </c>
      <c r="L246" t="s">
        <v>492</v>
      </c>
      <c r="N246" t="s">
        <v>520</v>
      </c>
      <c r="O246" t="s">
        <v>39</v>
      </c>
      <c r="P246" t="s">
        <v>440</v>
      </c>
      <c r="Q246" t="s">
        <v>51</v>
      </c>
      <c r="R246" t="s">
        <v>522</v>
      </c>
      <c r="S246" t="s">
        <v>422</v>
      </c>
      <c r="T246" t="s">
        <v>507</v>
      </c>
      <c r="W246">
        <v>46044.75</v>
      </c>
      <c r="X246">
        <v>46055.375</v>
      </c>
      <c r="Y246">
        <v>45439</v>
      </c>
      <c r="Z246">
        <v>255</v>
      </c>
      <c r="AA246">
        <v>238</v>
      </c>
      <c r="AB246">
        <v>237.97</v>
      </c>
      <c r="AC246">
        <v>109.7</v>
      </c>
      <c r="AD246">
        <v>109.7</v>
      </c>
      <c r="AE246">
        <v>128.30000000000001</v>
      </c>
      <c r="AF246" t="s">
        <v>428</v>
      </c>
      <c r="AG246" t="s">
        <v>429</v>
      </c>
      <c r="AH246" t="s">
        <v>428</v>
      </c>
      <c r="AI246" t="s">
        <v>428</v>
      </c>
      <c r="AK246" t="s">
        <v>474</v>
      </c>
      <c r="AM246" t="s">
        <v>485</v>
      </c>
      <c r="AN246" t="s">
        <v>445</v>
      </c>
      <c r="AO246" t="s">
        <v>446</v>
      </c>
      <c r="AQ246">
        <v>5907903.4699999997</v>
      </c>
      <c r="AR246">
        <v>5907903.4699999997</v>
      </c>
      <c r="AS246">
        <v>52.293300000000002</v>
      </c>
      <c r="AT246">
        <v>190</v>
      </c>
      <c r="AU246">
        <v>66.8</v>
      </c>
      <c r="AV246">
        <v>52.293300000000002</v>
      </c>
      <c r="AW246">
        <v>190</v>
      </c>
      <c r="AX246">
        <v>66.8</v>
      </c>
      <c r="AY246">
        <v>0</v>
      </c>
      <c r="AZ246">
        <v>39.700000000000003</v>
      </c>
      <c r="BA246">
        <v>239</v>
      </c>
      <c r="BB246">
        <v>75</v>
      </c>
      <c r="BC246">
        <v>0</v>
      </c>
      <c r="BD246">
        <v>46043</v>
      </c>
      <c r="BE246">
        <v>46063</v>
      </c>
    </row>
    <row r="247" spans="1:57" ht="15.2" customHeight="1" x14ac:dyDescent="0.25">
      <c r="A247" t="s">
        <v>1030</v>
      </c>
      <c r="B247" t="s">
        <v>1031</v>
      </c>
      <c r="D247" t="s">
        <v>489</v>
      </c>
      <c r="E247" t="s">
        <v>420</v>
      </c>
      <c r="G247" t="s">
        <v>469</v>
      </c>
      <c r="I247" t="s">
        <v>422</v>
      </c>
      <c r="L247" t="s">
        <v>423</v>
      </c>
      <c r="N247" t="s">
        <v>424</v>
      </c>
      <c r="O247" t="s">
        <v>531</v>
      </c>
      <c r="P247" t="s">
        <v>440</v>
      </c>
      <c r="Q247" t="s">
        <v>53</v>
      </c>
      <c r="R247" t="s">
        <v>1032</v>
      </c>
      <c r="S247" t="s">
        <v>422</v>
      </c>
      <c r="T247" t="s">
        <v>427</v>
      </c>
      <c r="W247">
        <v>46070.958333333336</v>
      </c>
      <c r="X247">
        <v>46071.3125</v>
      </c>
      <c r="Y247">
        <v>45847</v>
      </c>
      <c r="Z247">
        <v>8.5</v>
      </c>
      <c r="AA247">
        <v>7.79</v>
      </c>
      <c r="AB247">
        <v>14.950000000000001</v>
      </c>
      <c r="AC247">
        <v>0</v>
      </c>
      <c r="AD247">
        <v>0</v>
      </c>
      <c r="AE247">
        <v>7.79</v>
      </c>
      <c r="AF247" t="s">
        <v>428</v>
      </c>
      <c r="AG247" t="s">
        <v>429</v>
      </c>
      <c r="AH247" t="s">
        <v>429</v>
      </c>
      <c r="AI247" t="s">
        <v>428</v>
      </c>
      <c r="AK247" t="s">
        <v>474</v>
      </c>
      <c r="AN247" t="s">
        <v>430</v>
      </c>
      <c r="AO247" t="s">
        <v>446</v>
      </c>
      <c r="AQ247">
        <v>294672.68</v>
      </c>
      <c r="AR247">
        <v>294672.68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46067</v>
      </c>
      <c r="BE247">
        <v>46068</v>
      </c>
    </row>
    <row r="248" spans="1:57" ht="15.2" customHeight="1" x14ac:dyDescent="0.25">
      <c r="A248" t="s">
        <v>1033</v>
      </c>
      <c r="B248" t="s">
        <v>1034</v>
      </c>
      <c r="C248" t="s">
        <v>1035</v>
      </c>
      <c r="D248" t="s">
        <v>489</v>
      </c>
      <c r="E248" t="s">
        <v>420</v>
      </c>
      <c r="F248" t="s">
        <v>622</v>
      </c>
      <c r="G248" t="s">
        <v>469</v>
      </c>
      <c r="H248" t="s">
        <v>579</v>
      </c>
      <c r="I248" t="s">
        <v>422</v>
      </c>
      <c r="L248" t="s">
        <v>492</v>
      </c>
      <c r="N248" t="s">
        <v>424</v>
      </c>
      <c r="O248" t="s">
        <v>496</v>
      </c>
      <c r="P248" t="s">
        <v>440</v>
      </c>
      <c r="Q248" t="s">
        <v>51</v>
      </c>
      <c r="R248" t="s">
        <v>627</v>
      </c>
      <c r="S248" t="s">
        <v>422</v>
      </c>
      <c r="T248" t="s">
        <v>507</v>
      </c>
      <c r="W248">
        <v>46054.708333333336</v>
      </c>
      <c r="X248">
        <v>46070.041666666664</v>
      </c>
      <c r="Y248">
        <v>46065</v>
      </c>
      <c r="Z248">
        <v>306</v>
      </c>
      <c r="AA248">
        <v>280.5</v>
      </c>
      <c r="AB248">
        <v>229.24</v>
      </c>
      <c r="AC248">
        <v>36</v>
      </c>
      <c r="AD248">
        <v>51</v>
      </c>
      <c r="AE248">
        <v>229.5</v>
      </c>
      <c r="AF248" t="s">
        <v>428</v>
      </c>
      <c r="AG248" t="s">
        <v>429</v>
      </c>
      <c r="AH248" t="s">
        <v>428</v>
      </c>
      <c r="AI248" t="s">
        <v>428</v>
      </c>
      <c r="AK248" t="s">
        <v>474</v>
      </c>
      <c r="AM248" t="s">
        <v>485</v>
      </c>
      <c r="AN248" t="s">
        <v>430</v>
      </c>
      <c r="AO248" t="s">
        <v>446</v>
      </c>
      <c r="AQ248">
        <v>4179703.56</v>
      </c>
      <c r="AR248">
        <v>4179703.56</v>
      </c>
      <c r="AS248">
        <v>151.35120000000001</v>
      </c>
      <c r="AT248">
        <v>308</v>
      </c>
      <c r="AU248">
        <v>40</v>
      </c>
      <c r="AV248">
        <v>151.35120000000001</v>
      </c>
      <c r="AW248">
        <v>308</v>
      </c>
      <c r="AX248">
        <v>40</v>
      </c>
      <c r="AY248">
        <v>0</v>
      </c>
      <c r="AZ248">
        <v>149</v>
      </c>
      <c r="BA248">
        <v>405</v>
      </c>
      <c r="BB248">
        <v>40</v>
      </c>
      <c r="BC248">
        <v>0</v>
      </c>
      <c r="BD248">
        <v>46054</v>
      </c>
      <c r="BE248">
        <v>46065</v>
      </c>
    </row>
    <row r="249" spans="1:57" ht="15.2" customHeight="1" x14ac:dyDescent="0.25">
      <c r="A249" t="s">
        <v>1033</v>
      </c>
      <c r="B249" t="s">
        <v>1034</v>
      </c>
      <c r="C249" t="s">
        <v>1035</v>
      </c>
      <c r="D249" t="s">
        <v>489</v>
      </c>
      <c r="E249" t="s">
        <v>420</v>
      </c>
      <c r="F249" t="s">
        <v>622</v>
      </c>
      <c r="G249" t="s">
        <v>469</v>
      </c>
      <c r="H249" t="s">
        <v>579</v>
      </c>
      <c r="I249" t="s">
        <v>422</v>
      </c>
      <c r="L249" t="s">
        <v>492</v>
      </c>
      <c r="N249" t="s">
        <v>424</v>
      </c>
      <c r="O249" t="s">
        <v>608</v>
      </c>
      <c r="P249" t="s">
        <v>440</v>
      </c>
      <c r="Q249" t="s">
        <v>449</v>
      </c>
      <c r="R249" t="s">
        <v>1036</v>
      </c>
      <c r="S249" t="s">
        <v>422</v>
      </c>
      <c r="T249" t="s">
        <v>507</v>
      </c>
      <c r="W249">
        <v>46055.458333333336</v>
      </c>
      <c r="X249">
        <v>46056.375</v>
      </c>
      <c r="Y249">
        <v>45869</v>
      </c>
      <c r="Z249">
        <v>22</v>
      </c>
      <c r="AA249">
        <v>20.170000000000002</v>
      </c>
      <c r="AB249">
        <v>0</v>
      </c>
      <c r="AC249">
        <v>0</v>
      </c>
      <c r="AD249">
        <v>0</v>
      </c>
      <c r="AE249">
        <v>20.170000000000002</v>
      </c>
      <c r="AF249" t="s">
        <v>429</v>
      </c>
      <c r="AG249" t="s">
        <v>429</v>
      </c>
      <c r="AH249" t="s">
        <v>429</v>
      </c>
      <c r="AI249" t="s">
        <v>429</v>
      </c>
      <c r="AN249" t="s">
        <v>431</v>
      </c>
      <c r="AO249" t="s">
        <v>432</v>
      </c>
      <c r="AQ249">
        <v>0</v>
      </c>
      <c r="AR249">
        <v>0</v>
      </c>
      <c r="AS249">
        <v>151.35120000000001</v>
      </c>
      <c r="AT249">
        <v>308</v>
      </c>
      <c r="AU249">
        <v>40</v>
      </c>
      <c r="AV249">
        <v>151.35120000000001</v>
      </c>
      <c r="AW249">
        <v>308</v>
      </c>
      <c r="AX249">
        <v>40</v>
      </c>
      <c r="AY249">
        <v>0</v>
      </c>
      <c r="AZ249">
        <v>151.35120000000001</v>
      </c>
      <c r="BA249">
        <v>308</v>
      </c>
      <c r="BB249">
        <v>40</v>
      </c>
      <c r="BC249">
        <v>0</v>
      </c>
      <c r="BD249">
        <v>46055</v>
      </c>
      <c r="BE249">
        <v>46058</v>
      </c>
    </row>
    <row r="250" spans="1:57" ht="15.2" customHeight="1" x14ac:dyDescent="0.25">
      <c r="A250" t="s">
        <v>212</v>
      </c>
      <c r="B250" t="s">
        <v>1037</v>
      </c>
      <c r="C250" t="s">
        <v>1035</v>
      </c>
      <c r="D250" t="s">
        <v>489</v>
      </c>
      <c r="E250" t="s">
        <v>420</v>
      </c>
      <c r="F250" t="s">
        <v>622</v>
      </c>
      <c r="G250" t="s">
        <v>469</v>
      </c>
      <c r="H250" t="s">
        <v>579</v>
      </c>
      <c r="I250" t="s">
        <v>422</v>
      </c>
      <c r="L250" t="s">
        <v>492</v>
      </c>
      <c r="N250" t="s">
        <v>424</v>
      </c>
      <c r="P250" t="s">
        <v>425</v>
      </c>
      <c r="Q250" t="s">
        <v>92</v>
      </c>
      <c r="R250" t="s">
        <v>1038</v>
      </c>
      <c r="S250" t="s">
        <v>422</v>
      </c>
      <c r="T250" t="s">
        <v>507</v>
      </c>
      <c r="W250">
        <v>0</v>
      </c>
      <c r="X250">
        <v>0</v>
      </c>
      <c r="Y250">
        <v>45976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 t="s">
        <v>428</v>
      </c>
      <c r="AG250" t="s">
        <v>429</v>
      </c>
      <c r="AH250" t="s">
        <v>429</v>
      </c>
      <c r="AI250" t="s">
        <v>429</v>
      </c>
      <c r="AJ250" t="s">
        <v>474</v>
      </c>
      <c r="AK250" t="s">
        <v>430</v>
      </c>
      <c r="AN250" t="s">
        <v>431</v>
      </c>
      <c r="AO250" t="s">
        <v>432</v>
      </c>
      <c r="AQ250">
        <v>0</v>
      </c>
      <c r="AR250">
        <v>0</v>
      </c>
      <c r="AS250">
        <v>139.22999999999999</v>
      </c>
      <c r="AT250">
        <v>200</v>
      </c>
      <c r="AU250">
        <v>15</v>
      </c>
      <c r="AV250">
        <v>139.22999999999999</v>
      </c>
      <c r="AW250">
        <v>200</v>
      </c>
      <c r="AX250">
        <v>15</v>
      </c>
      <c r="AY250">
        <v>0</v>
      </c>
      <c r="AZ250">
        <v>139.22999999999999</v>
      </c>
      <c r="BA250">
        <v>200</v>
      </c>
      <c r="BB250">
        <v>15</v>
      </c>
      <c r="BC250">
        <v>0</v>
      </c>
      <c r="BD250">
        <v>46070</v>
      </c>
      <c r="BE250">
        <v>46111</v>
      </c>
    </row>
    <row r="251" spans="1:57" ht="15.2" customHeight="1" x14ac:dyDescent="0.25">
      <c r="A251" t="s">
        <v>212</v>
      </c>
      <c r="B251" t="s">
        <v>1037</v>
      </c>
      <c r="C251" t="s">
        <v>1035</v>
      </c>
      <c r="D251" t="s">
        <v>489</v>
      </c>
      <c r="E251" t="s">
        <v>420</v>
      </c>
      <c r="F251" t="s">
        <v>622</v>
      </c>
      <c r="G251" t="s">
        <v>469</v>
      </c>
      <c r="H251" t="s">
        <v>579</v>
      </c>
      <c r="I251" t="s">
        <v>422</v>
      </c>
      <c r="L251" t="s">
        <v>492</v>
      </c>
      <c r="N251" t="s">
        <v>424</v>
      </c>
      <c r="O251" t="s">
        <v>521</v>
      </c>
      <c r="P251" t="s">
        <v>440</v>
      </c>
      <c r="Q251" t="s">
        <v>594</v>
      </c>
      <c r="R251" t="s">
        <v>1039</v>
      </c>
      <c r="S251" t="s">
        <v>422</v>
      </c>
      <c r="T251" t="s">
        <v>507</v>
      </c>
      <c r="W251">
        <v>46052.71875</v>
      </c>
      <c r="X251">
        <v>46054</v>
      </c>
      <c r="Y251">
        <v>45976</v>
      </c>
      <c r="Z251">
        <v>30.75</v>
      </c>
      <c r="AA251">
        <v>28.19</v>
      </c>
      <c r="AB251">
        <v>28.650000000000002</v>
      </c>
      <c r="AC251">
        <v>0</v>
      </c>
      <c r="AD251">
        <v>0</v>
      </c>
      <c r="AE251">
        <v>28.19</v>
      </c>
      <c r="AF251" t="s">
        <v>428</v>
      </c>
      <c r="AG251" t="s">
        <v>429</v>
      </c>
      <c r="AH251" t="s">
        <v>428</v>
      </c>
      <c r="AI251" t="s">
        <v>428</v>
      </c>
      <c r="AK251" t="s">
        <v>430</v>
      </c>
      <c r="AM251" t="s">
        <v>485</v>
      </c>
      <c r="AN251" t="s">
        <v>445</v>
      </c>
      <c r="AO251" t="s">
        <v>811</v>
      </c>
      <c r="AQ251">
        <v>564623.72</v>
      </c>
      <c r="AR251">
        <v>564623.72</v>
      </c>
      <c r="AS251">
        <v>139.22999999999999</v>
      </c>
      <c r="AT251">
        <v>200</v>
      </c>
      <c r="AU251">
        <v>15</v>
      </c>
      <c r="AV251">
        <v>139.22999999999999</v>
      </c>
      <c r="AW251">
        <v>200</v>
      </c>
      <c r="AX251">
        <v>15</v>
      </c>
      <c r="AY251">
        <v>0</v>
      </c>
      <c r="AZ251">
        <v>139.22999999999999</v>
      </c>
      <c r="BA251">
        <v>200</v>
      </c>
      <c r="BB251">
        <v>15</v>
      </c>
      <c r="BC251">
        <v>0</v>
      </c>
      <c r="BD251">
        <v>46051</v>
      </c>
      <c r="BE251">
        <v>46078</v>
      </c>
    </row>
    <row r="252" spans="1:57" ht="15.2" customHeight="1" x14ac:dyDescent="0.25">
      <c r="A252" t="s">
        <v>185</v>
      </c>
      <c r="B252" t="s">
        <v>1040</v>
      </c>
      <c r="C252" t="s">
        <v>1035</v>
      </c>
      <c r="D252" t="s">
        <v>730</v>
      </c>
      <c r="E252" t="s">
        <v>420</v>
      </c>
      <c r="F252" t="s">
        <v>731</v>
      </c>
      <c r="G252" t="s">
        <v>421</v>
      </c>
      <c r="H252" t="s">
        <v>561</v>
      </c>
      <c r="I252" t="s">
        <v>422</v>
      </c>
      <c r="L252" t="s">
        <v>492</v>
      </c>
      <c r="N252" t="s">
        <v>424</v>
      </c>
      <c r="P252" t="s">
        <v>440</v>
      </c>
      <c r="Q252" t="s">
        <v>53</v>
      </c>
      <c r="R252" t="s">
        <v>1041</v>
      </c>
      <c r="T252" t="s">
        <v>427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428</v>
      </c>
      <c r="AG252" t="s">
        <v>429</v>
      </c>
      <c r="AH252" t="s">
        <v>429</v>
      </c>
      <c r="AI252" t="s">
        <v>429</v>
      </c>
      <c r="AK252" t="s">
        <v>430</v>
      </c>
      <c r="AN252" t="s">
        <v>431</v>
      </c>
      <c r="AO252" t="s">
        <v>432</v>
      </c>
      <c r="AQ252">
        <v>0</v>
      </c>
      <c r="AR252">
        <v>0</v>
      </c>
      <c r="AS252">
        <v>0</v>
      </c>
      <c r="AT252">
        <v>930</v>
      </c>
      <c r="AU252">
        <v>0</v>
      </c>
      <c r="AV252">
        <v>0</v>
      </c>
      <c r="AW252">
        <v>930</v>
      </c>
      <c r="AX252">
        <v>0</v>
      </c>
      <c r="AY252">
        <v>0</v>
      </c>
      <c r="AZ252">
        <v>0</v>
      </c>
      <c r="BA252">
        <v>1200</v>
      </c>
      <c r="BB252">
        <v>100</v>
      </c>
      <c r="BC252">
        <v>0</v>
      </c>
      <c r="BD252">
        <v>46058</v>
      </c>
      <c r="BE252">
        <v>46073</v>
      </c>
    </row>
    <row r="253" spans="1:57" ht="15.2" customHeight="1" x14ac:dyDescent="0.25">
      <c r="A253" t="s">
        <v>149</v>
      </c>
      <c r="B253" t="s">
        <v>1042</v>
      </c>
      <c r="C253" t="s">
        <v>1035</v>
      </c>
      <c r="D253" t="s">
        <v>489</v>
      </c>
      <c r="E253" t="s">
        <v>420</v>
      </c>
      <c r="F253" t="s">
        <v>622</v>
      </c>
      <c r="G253" t="s">
        <v>469</v>
      </c>
      <c r="H253" t="s">
        <v>579</v>
      </c>
      <c r="I253" t="s">
        <v>422</v>
      </c>
      <c r="L253" t="s">
        <v>492</v>
      </c>
      <c r="N253" t="s">
        <v>424</v>
      </c>
      <c r="P253" t="s">
        <v>440</v>
      </c>
      <c r="Q253" t="s">
        <v>51</v>
      </c>
      <c r="R253" t="s">
        <v>1043</v>
      </c>
      <c r="T253" t="s">
        <v>507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428</v>
      </c>
      <c r="AG253" t="s">
        <v>429</v>
      </c>
      <c r="AH253" t="s">
        <v>428</v>
      </c>
      <c r="AI253" t="s">
        <v>429</v>
      </c>
      <c r="AK253" t="s">
        <v>474</v>
      </c>
      <c r="AM253" t="s">
        <v>430</v>
      </c>
      <c r="AN253" t="s">
        <v>431</v>
      </c>
      <c r="AO253" t="s">
        <v>432</v>
      </c>
      <c r="AQ253">
        <v>0</v>
      </c>
      <c r="AR253">
        <v>0</v>
      </c>
      <c r="AS253">
        <v>25.872200000000003</v>
      </c>
      <c r="AT253">
        <v>130</v>
      </c>
      <c r="AU253">
        <v>75.7</v>
      </c>
      <c r="AV253">
        <v>25.872200000000003</v>
      </c>
      <c r="AW253">
        <v>130</v>
      </c>
      <c r="AX253">
        <v>75.7</v>
      </c>
      <c r="AY253">
        <v>0</v>
      </c>
      <c r="AZ253">
        <v>25.872200000000003</v>
      </c>
      <c r="BA253">
        <v>130</v>
      </c>
      <c r="BB253">
        <v>75.7</v>
      </c>
      <c r="BC253">
        <v>0</v>
      </c>
      <c r="BD253">
        <v>46071</v>
      </c>
      <c r="BE253">
        <v>46081</v>
      </c>
    </row>
    <row r="254" spans="1:57" ht="15.2" customHeight="1" x14ac:dyDescent="0.25">
      <c r="A254" t="s">
        <v>190</v>
      </c>
      <c r="B254" t="s">
        <v>1044</v>
      </c>
      <c r="C254" t="s">
        <v>1035</v>
      </c>
      <c r="D254" t="s">
        <v>489</v>
      </c>
      <c r="E254" t="s">
        <v>420</v>
      </c>
      <c r="F254" t="s">
        <v>622</v>
      </c>
      <c r="G254" t="s">
        <v>469</v>
      </c>
      <c r="H254" t="s">
        <v>579</v>
      </c>
      <c r="I254" t="s">
        <v>422</v>
      </c>
      <c r="L254" t="s">
        <v>492</v>
      </c>
      <c r="N254" t="s">
        <v>424</v>
      </c>
      <c r="O254" t="s">
        <v>608</v>
      </c>
      <c r="P254" t="s">
        <v>440</v>
      </c>
      <c r="Q254" t="s">
        <v>441</v>
      </c>
      <c r="R254" t="s">
        <v>1045</v>
      </c>
      <c r="S254" t="s">
        <v>422</v>
      </c>
      <c r="T254" t="s">
        <v>507</v>
      </c>
      <c r="W254">
        <v>46064.604166666664</v>
      </c>
      <c r="X254">
        <v>46064.999305555553</v>
      </c>
      <c r="Y254">
        <v>46033</v>
      </c>
      <c r="Z254">
        <v>9.48</v>
      </c>
      <c r="AA254">
        <v>8.69</v>
      </c>
      <c r="AB254">
        <v>0</v>
      </c>
      <c r="AC254">
        <v>0</v>
      </c>
      <c r="AD254">
        <v>0</v>
      </c>
      <c r="AE254">
        <v>8.69</v>
      </c>
      <c r="AF254" t="s">
        <v>429</v>
      </c>
      <c r="AG254" t="s">
        <v>429</v>
      </c>
      <c r="AH254" t="s">
        <v>429</v>
      </c>
      <c r="AI254" t="s">
        <v>429</v>
      </c>
      <c r="AN254" t="s">
        <v>431</v>
      </c>
      <c r="AO254" t="s">
        <v>432</v>
      </c>
      <c r="AQ254">
        <v>0</v>
      </c>
      <c r="AR254">
        <v>0</v>
      </c>
      <c r="AS254">
        <v>109.74600000000001</v>
      </c>
      <c r="AT254">
        <v>335</v>
      </c>
      <c r="AU254">
        <v>60</v>
      </c>
      <c r="AV254">
        <v>109.74600000000001</v>
      </c>
      <c r="AW254">
        <v>335</v>
      </c>
      <c r="AX254">
        <v>60</v>
      </c>
      <c r="AY254">
        <v>0</v>
      </c>
      <c r="AZ254">
        <v>109.74600000000001</v>
      </c>
      <c r="BA254">
        <v>335</v>
      </c>
      <c r="BB254">
        <v>60</v>
      </c>
      <c r="BC254">
        <v>0</v>
      </c>
      <c r="BD254">
        <v>46064</v>
      </c>
      <c r="BE254">
        <v>46065</v>
      </c>
    </row>
    <row r="255" spans="1:57" ht="15.2" customHeight="1" x14ac:dyDescent="0.25">
      <c r="A255" t="s">
        <v>190</v>
      </c>
      <c r="B255" t="s">
        <v>1044</v>
      </c>
      <c r="C255" t="s">
        <v>1035</v>
      </c>
      <c r="D255" t="s">
        <v>489</v>
      </c>
      <c r="E255" t="s">
        <v>420</v>
      </c>
      <c r="F255" t="s">
        <v>622</v>
      </c>
      <c r="G255" t="s">
        <v>469</v>
      </c>
      <c r="H255" t="s">
        <v>579</v>
      </c>
      <c r="I255" t="s">
        <v>422</v>
      </c>
      <c r="L255" t="s">
        <v>492</v>
      </c>
      <c r="N255" t="s">
        <v>424</v>
      </c>
      <c r="O255" t="s">
        <v>521</v>
      </c>
      <c r="P255" t="s">
        <v>425</v>
      </c>
      <c r="Q255" t="s">
        <v>92</v>
      </c>
      <c r="R255" t="s">
        <v>1046</v>
      </c>
      <c r="S255" t="s">
        <v>422</v>
      </c>
      <c r="T255" t="s">
        <v>507</v>
      </c>
      <c r="W255">
        <v>46054</v>
      </c>
      <c r="X255">
        <v>0</v>
      </c>
      <c r="Y255">
        <v>46062</v>
      </c>
      <c r="Z255">
        <v>0</v>
      </c>
      <c r="AA255">
        <v>0</v>
      </c>
      <c r="AB255">
        <v>303.2</v>
      </c>
      <c r="AC255">
        <v>0</v>
      </c>
      <c r="AD255">
        <v>0</v>
      </c>
      <c r="AE255">
        <v>0</v>
      </c>
      <c r="AF255" t="s">
        <v>428</v>
      </c>
      <c r="AG255" t="s">
        <v>429</v>
      </c>
      <c r="AH255" t="s">
        <v>428</v>
      </c>
      <c r="AI255" t="s">
        <v>428</v>
      </c>
      <c r="AJ255" t="s">
        <v>474</v>
      </c>
      <c r="AK255" t="s">
        <v>474</v>
      </c>
      <c r="AM255" t="s">
        <v>485</v>
      </c>
      <c r="AN255" t="s">
        <v>430</v>
      </c>
      <c r="AO255" t="s">
        <v>446</v>
      </c>
      <c r="AQ255">
        <v>5539546.0099999998</v>
      </c>
      <c r="AR255">
        <v>5539546.0099999998</v>
      </c>
      <c r="AS255">
        <v>109.74600000000001</v>
      </c>
      <c r="AT255">
        <v>335</v>
      </c>
      <c r="AU255">
        <v>60</v>
      </c>
      <c r="AV255">
        <v>109.74600000000001</v>
      </c>
      <c r="AW255">
        <v>335</v>
      </c>
      <c r="AX255">
        <v>60</v>
      </c>
      <c r="AY255">
        <v>0</v>
      </c>
      <c r="AZ255">
        <v>121</v>
      </c>
      <c r="BA255">
        <v>368</v>
      </c>
      <c r="BB255">
        <v>60</v>
      </c>
      <c r="BC255">
        <v>0</v>
      </c>
      <c r="BD255">
        <v>46054</v>
      </c>
      <c r="BE255">
        <v>46062</v>
      </c>
    </row>
    <row r="256" spans="1:57" ht="15.2" customHeight="1" x14ac:dyDescent="0.25">
      <c r="A256" t="s">
        <v>147</v>
      </c>
      <c r="B256" t="s">
        <v>1047</v>
      </c>
      <c r="C256" t="s">
        <v>1035</v>
      </c>
      <c r="D256" t="s">
        <v>489</v>
      </c>
      <c r="E256" t="s">
        <v>420</v>
      </c>
      <c r="F256" t="s">
        <v>490</v>
      </c>
      <c r="G256" t="s">
        <v>469</v>
      </c>
      <c r="H256" t="s">
        <v>579</v>
      </c>
      <c r="I256" t="s">
        <v>422</v>
      </c>
      <c r="L256" t="s">
        <v>492</v>
      </c>
      <c r="N256" t="s">
        <v>424</v>
      </c>
      <c r="P256" t="s">
        <v>425</v>
      </c>
      <c r="Q256" t="s">
        <v>54</v>
      </c>
      <c r="R256" t="s">
        <v>1048</v>
      </c>
      <c r="T256" t="s">
        <v>507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428</v>
      </c>
      <c r="AG256" t="s">
        <v>429</v>
      </c>
      <c r="AH256" t="s">
        <v>429</v>
      </c>
      <c r="AI256" t="s">
        <v>429</v>
      </c>
      <c r="AJ256" t="s">
        <v>430</v>
      </c>
      <c r="AK256" t="s">
        <v>430</v>
      </c>
      <c r="AN256" t="s">
        <v>431</v>
      </c>
      <c r="AO256" t="s">
        <v>432</v>
      </c>
      <c r="AQ256">
        <v>0</v>
      </c>
      <c r="AR256">
        <v>0</v>
      </c>
      <c r="AS256">
        <v>140.45850000000002</v>
      </c>
      <c r="AT256">
        <v>245</v>
      </c>
      <c r="AU256">
        <v>30</v>
      </c>
      <c r="AV256">
        <v>159.86880000000002</v>
      </c>
      <c r="AW256">
        <v>320</v>
      </c>
      <c r="AX256">
        <v>39</v>
      </c>
      <c r="AY256">
        <v>0</v>
      </c>
      <c r="AZ256">
        <v>0</v>
      </c>
      <c r="BA256">
        <v>0</v>
      </c>
      <c r="BB256">
        <v>0</v>
      </c>
      <c r="BC256">
        <v>600</v>
      </c>
      <c r="BD256">
        <v>46077</v>
      </c>
      <c r="BE256">
        <v>46090</v>
      </c>
    </row>
    <row r="257" spans="1:57" ht="15.2" customHeight="1" x14ac:dyDescent="0.25">
      <c r="A257" t="s">
        <v>121</v>
      </c>
      <c r="B257" t="s">
        <v>1049</v>
      </c>
      <c r="C257" t="s">
        <v>1035</v>
      </c>
      <c r="D257" t="s">
        <v>489</v>
      </c>
      <c r="E257" t="s">
        <v>420</v>
      </c>
      <c r="F257" t="s">
        <v>622</v>
      </c>
      <c r="G257" t="s">
        <v>469</v>
      </c>
      <c r="L257" t="s">
        <v>492</v>
      </c>
      <c r="N257" t="s">
        <v>424</v>
      </c>
      <c r="O257" t="s">
        <v>560</v>
      </c>
      <c r="P257" t="s">
        <v>425</v>
      </c>
      <c r="Q257" t="s">
        <v>154</v>
      </c>
      <c r="R257" t="s">
        <v>1050</v>
      </c>
      <c r="W257">
        <v>46065.25</v>
      </c>
      <c r="X257">
        <v>46066.25</v>
      </c>
      <c r="Z257">
        <v>24</v>
      </c>
      <c r="AA257">
        <v>22</v>
      </c>
      <c r="AB257">
        <v>22</v>
      </c>
      <c r="AC257">
        <v>0</v>
      </c>
      <c r="AD257">
        <v>0</v>
      </c>
      <c r="AE257">
        <v>22</v>
      </c>
      <c r="AF257" t="s">
        <v>428</v>
      </c>
      <c r="AG257" t="s">
        <v>429</v>
      </c>
      <c r="AH257" t="s">
        <v>429</v>
      </c>
      <c r="AI257" t="s">
        <v>428</v>
      </c>
      <c r="AJ257" t="s">
        <v>474</v>
      </c>
      <c r="AK257" t="s">
        <v>474</v>
      </c>
      <c r="AN257" t="s">
        <v>430</v>
      </c>
      <c r="AO257" t="s">
        <v>446</v>
      </c>
      <c r="AQ257">
        <v>892888.63</v>
      </c>
      <c r="AR257">
        <v>892888.63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98.5</v>
      </c>
      <c r="BA257">
        <v>303</v>
      </c>
      <c r="BB257">
        <v>60</v>
      </c>
      <c r="BC257">
        <v>0</v>
      </c>
      <c r="BD257">
        <v>46066</v>
      </c>
      <c r="BE257">
        <v>46076</v>
      </c>
    </row>
    <row r="258" spans="1:57" ht="15.2" customHeight="1" x14ac:dyDescent="0.25">
      <c r="A258" t="s">
        <v>121</v>
      </c>
      <c r="B258" t="s">
        <v>1049</v>
      </c>
      <c r="C258" t="s">
        <v>1035</v>
      </c>
      <c r="D258" t="s">
        <v>489</v>
      </c>
      <c r="E258" t="s">
        <v>420</v>
      </c>
      <c r="F258" t="s">
        <v>622</v>
      </c>
      <c r="G258" t="s">
        <v>469</v>
      </c>
      <c r="L258" t="s">
        <v>492</v>
      </c>
      <c r="N258" t="s">
        <v>424</v>
      </c>
      <c r="O258" t="s">
        <v>560</v>
      </c>
      <c r="P258" t="s">
        <v>425</v>
      </c>
      <c r="Q258" t="s">
        <v>154</v>
      </c>
      <c r="R258" t="s">
        <v>1050</v>
      </c>
      <c r="W258">
        <v>46068.916666666664</v>
      </c>
      <c r="X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429</v>
      </c>
      <c r="AG258" t="s">
        <v>429</v>
      </c>
      <c r="AH258" t="s">
        <v>429</v>
      </c>
      <c r="AI258" t="s">
        <v>428</v>
      </c>
      <c r="AN258" t="s">
        <v>430</v>
      </c>
      <c r="AO258" t="s">
        <v>446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98.5</v>
      </c>
      <c r="BA258">
        <v>303</v>
      </c>
      <c r="BB258">
        <v>0</v>
      </c>
      <c r="BC258">
        <v>0</v>
      </c>
      <c r="BD258">
        <v>46068</v>
      </c>
      <c r="BE258">
        <v>46081</v>
      </c>
    </row>
    <row r="259" spans="1:57" ht="15.2" customHeight="1" x14ac:dyDescent="0.25">
      <c r="A259" t="s">
        <v>1051</v>
      </c>
      <c r="B259" t="s">
        <v>1052</v>
      </c>
      <c r="C259" t="s">
        <v>1013</v>
      </c>
      <c r="D259" t="s">
        <v>489</v>
      </c>
      <c r="E259" t="s">
        <v>420</v>
      </c>
      <c r="F259" t="s">
        <v>622</v>
      </c>
      <c r="G259" t="s">
        <v>469</v>
      </c>
      <c r="H259" t="s">
        <v>561</v>
      </c>
      <c r="I259" t="s">
        <v>422</v>
      </c>
      <c r="L259" t="s">
        <v>492</v>
      </c>
      <c r="N259" t="s">
        <v>424</v>
      </c>
      <c r="O259" t="s">
        <v>493</v>
      </c>
      <c r="P259" t="s">
        <v>440</v>
      </c>
      <c r="Q259" t="s">
        <v>594</v>
      </c>
      <c r="R259" t="s">
        <v>1053</v>
      </c>
      <c r="S259" t="s">
        <v>422</v>
      </c>
      <c r="T259" t="s">
        <v>507</v>
      </c>
      <c r="W259">
        <v>46060.875</v>
      </c>
      <c r="X259">
        <v>46062.333333333336</v>
      </c>
      <c r="Z259">
        <v>23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429</v>
      </c>
      <c r="AG259" t="s">
        <v>429</v>
      </c>
      <c r="AH259" t="s">
        <v>429</v>
      </c>
      <c r="AI259" t="s">
        <v>429</v>
      </c>
      <c r="AN259" t="s">
        <v>431</v>
      </c>
      <c r="AO259" t="s">
        <v>432</v>
      </c>
      <c r="AQ259">
        <v>0</v>
      </c>
      <c r="AR259">
        <v>0</v>
      </c>
      <c r="AS259">
        <v>17.821400000000001</v>
      </c>
      <c r="AT259">
        <v>272</v>
      </c>
      <c r="AU259">
        <v>92</v>
      </c>
      <c r="AV259">
        <v>17.821400000000001</v>
      </c>
      <c r="AW259">
        <v>272</v>
      </c>
      <c r="AX259">
        <v>92</v>
      </c>
      <c r="AY259">
        <v>0</v>
      </c>
      <c r="AZ259">
        <v>17.821400000000001</v>
      </c>
      <c r="BA259">
        <v>272</v>
      </c>
      <c r="BB259">
        <v>92</v>
      </c>
      <c r="BC259">
        <v>0</v>
      </c>
      <c r="BD259">
        <v>46060</v>
      </c>
      <c r="BE259">
        <v>46062</v>
      </c>
    </row>
    <row r="260" spans="1:57" ht="15.2" customHeight="1" x14ac:dyDescent="0.25">
      <c r="A260" t="s">
        <v>1051</v>
      </c>
      <c r="B260" t="s">
        <v>1052</v>
      </c>
      <c r="C260" t="s">
        <v>1013</v>
      </c>
      <c r="D260" t="s">
        <v>489</v>
      </c>
      <c r="E260" t="s">
        <v>420</v>
      </c>
      <c r="F260" t="s">
        <v>622</v>
      </c>
      <c r="G260" t="s">
        <v>469</v>
      </c>
      <c r="H260" t="s">
        <v>561</v>
      </c>
      <c r="I260" t="s">
        <v>422</v>
      </c>
      <c r="L260" t="s">
        <v>492</v>
      </c>
      <c r="N260" t="s">
        <v>424</v>
      </c>
      <c r="O260" t="s">
        <v>517</v>
      </c>
      <c r="P260" t="s">
        <v>425</v>
      </c>
      <c r="Q260" t="s">
        <v>165</v>
      </c>
      <c r="R260" t="s">
        <v>1054</v>
      </c>
      <c r="S260" t="s">
        <v>422</v>
      </c>
      <c r="T260" t="s">
        <v>507</v>
      </c>
      <c r="W260">
        <v>46061.791666666664</v>
      </c>
      <c r="X260">
        <v>46070.875</v>
      </c>
      <c r="Z260">
        <v>218</v>
      </c>
      <c r="AA260">
        <v>199.83</v>
      </c>
      <c r="AB260">
        <v>238.67000000000002</v>
      </c>
      <c r="AC260">
        <v>0</v>
      </c>
      <c r="AD260">
        <v>8.17</v>
      </c>
      <c r="AE260">
        <v>191.66</v>
      </c>
      <c r="AF260" t="s">
        <v>428</v>
      </c>
      <c r="AG260" t="s">
        <v>429</v>
      </c>
      <c r="AH260" t="s">
        <v>429</v>
      </c>
      <c r="AI260" t="s">
        <v>428</v>
      </c>
      <c r="AJ260" t="s">
        <v>474</v>
      </c>
      <c r="AK260" t="s">
        <v>474</v>
      </c>
      <c r="AN260" t="s">
        <v>430</v>
      </c>
      <c r="AO260" t="s">
        <v>446</v>
      </c>
      <c r="AQ260">
        <v>4620795.3099999996</v>
      </c>
      <c r="AR260">
        <v>4620795.3099999996</v>
      </c>
      <c r="AS260">
        <v>17.821400000000001</v>
      </c>
      <c r="AT260">
        <v>272</v>
      </c>
      <c r="AU260">
        <v>92</v>
      </c>
      <c r="AV260">
        <v>17.821400000000001</v>
      </c>
      <c r="AW260">
        <v>272</v>
      </c>
      <c r="AX260">
        <v>92</v>
      </c>
      <c r="AY260">
        <v>0</v>
      </c>
      <c r="AZ260">
        <v>0</v>
      </c>
      <c r="BA260">
        <v>1000</v>
      </c>
      <c r="BB260">
        <v>0</v>
      </c>
      <c r="BC260">
        <v>1500</v>
      </c>
      <c r="BD260">
        <v>46065</v>
      </c>
      <c r="BE260">
        <v>46079</v>
      </c>
    </row>
    <row r="261" spans="1:57" ht="15.2" customHeight="1" x14ac:dyDescent="0.25">
      <c r="A261" t="s">
        <v>326</v>
      </c>
      <c r="B261" t="s">
        <v>1055</v>
      </c>
      <c r="C261" t="s">
        <v>1013</v>
      </c>
      <c r="D261" t="s">
        <v>489</v>
      </c>
      <c r="E261" t="s">
        <v>420</v>
      </c>
      <c r="F261" t="s">
        <v>622</v>
      </c>
      <c r="G261" t="s">
        <v>469</v>
      </c>
      <c r="H261" t="s">
        <v>544</v>
      </c>
      <c r="I261" t="s">
        <v>422</v>
      </c>
      <c r="L261" t="s">
        <v>492</v>
      </c>
      <c r="N261" t="s">
        <v>424</v>
      </c>
      <c r="O261" t="s">
        <v>531</v>
      </c>
      <c r="P261" t="s">
        <v>440</v>
      </c>
      <c r="Q261" t="s">
        <v>537</v>
      </c>
      <c r="R261" t="s">
        <v>1056</v>
      </c>
      <c r="S261" t="s">
        <v>422</v>
      </c>
      <c r="T261" t="s">
        <v>507</v>
      </c>
      <c r="W261">
        <v>46066.125</v>
      </c>
      <c r="X261">
        <v>46066.375</v>
      </c>
      <c r="Z261">
        <v>6</v>
      </c>
      <c r="AA261">
        <v>5.5</v>
      </c>
      <c r="AB261">
        <v>6.96</v>
      </c>
      <c r="AC261">
        <v>0</v>
      </c>
      <c r="AD261">
        <v>0</v>
      </c>
      <c r="AE261">
        <v>5.5</v>
      </c>
      <c r="AF261" t="s">
        <v>428</v>
      </c>
      <c r="AG261" t="s">
        <v>429</v>
      </c>
      <c r="AH261" t="s">
        <v>429</v>
      </c>
      <c r="AI261" t="s">
        <v>428</v>
      </c>
      <c r="AK261" t="s">
        <v>474</v>
      </c>
      <c r="AN261" t="s">
        <v>430</v>
      </c>
      <c r="AO261" t="s">
        <v>446</v>
      </c>
      <c r="AQ261">
        <v>203043.29</v>
      </c>
      <c r="AR261">
        <v>203043.29</v>
      </c>
      <c r="AS261">
        <v>0.35139999999999999</v>
      </c>
      <c r="AT261">
        <v>429</v>
      </c>
      <c r="AU261">
        <v>99.9</v>
      </c>
      <c r="AV261">
        <v>0.35139999999999999</v>
      </c>
      <c r="AW261">
        <v>429</v>
      </c>
      <c r="AX261">
        <v>99.9</v>
      </c>
      <c r="AY261">
        <v>0</v>
      </c>
      <c r="AZ261">
        <v>0.35139999999999999</v>
      </c>
      <c r="BA261">
        <v>429</v>
      </c>
      <c r="BB261">
        <v>99.9</v>
      </c>
      <c r="BC261">
        <v>0</v>
      </c>
      <c r="BD261">
        <v>46065</v>
      </c>
      <c r="BE261">
        <v>46066</v>
      </c>
    </row>
    <row r="262" spans="1:57" ht="15.2" customHeight="1" x14ac:dyDescent="0.25">
      <c r="A262" t="s">
        <v>326</v>
      </c>
      <c r="B262" t="s">
        <v>1055</v>
      </c>
      <c r="C262" t="s">
        <v>1013</v>
      </c>
      <c r="D262" t="s">
        <v>489</v>
      </c>
      <c r="E262" t="s">
        <v>420</v>
      </c>
      <c r="F262" t="s">
        <v>622</v>
      </c>
      <c r="G262" t="s">
        <v>469</v>
      </c>
      <c r="H262" t="s">
        <v>579</v>
      </c>
      <c r="I262" t="s">
        <v>422</v>
      </c>
      <c r="L262" t="s">
        <v>492</v>
      </c>
      <c r="N262" t="s">
        <v>424</v>
      </c>
      <c r="P262" t="s">
        <v>425</v>
      </c>
      <c r="Q262" t="s">
        <v>84</v>
      </c>
      <c r="R262" t="s">
        <v>1057</v>
      </c>
      <c r="S262" t="s">
        <v>422</v>
      </c>
      <c r="T262" t="s">
        <v>507</v>
      </c>
      <c r="W262">
        <v>0</v>
      </c>
      <c r="X262">
        <v>0</v>
      </c>
      <c r="Y262">
        <v>45851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 t="s">
        <v>428</v>
      </c>
      <c r="AG262" t="s">
        <v>429</v>
      </c>
      <c r="AH262" t="s">
        <v>429</v>
      </c>
      <c r="AI262" t="s">
        <v>429</v>
      </c>
      <c r="AJ262" t="s">
        <v>474</v>
      </c>
      <c r="AK262" t="s">
        <v>430</v>
      </c>
      <c r="AN262" t="s">
        <v>431</v>
      </c>
      <c r="AO262" t="s">
        <v>432</v>
      </c>
      <c r="AQ262">
        <v>0</v>
      </c>
      <c r="AR262">
        <v>0</v>
      </c>
      <c r="AS262">
        <v>0.35139999999999999</v>
      </c>
      <c r="AT262">
        <v>429</v>
      </c>
      <c r="AU262">
        <v>99.9</v>
      </c>
      <c r="AV262">
        <v>0.35139999999999999</v>
      </c>
      <c r="AW262">
        <v>429</v>
      </c>
      <c r="AX262">
        <v>99.9</v>
      </c>
      <c r="AY262">
        <v>0</v>
      </c>
      <c r="AZ262">
        <v>0.35139999999999999</v>
      </c>
      <c r="BA262">
        <v>429</v>
      </c>
      <c r="BB262">
        <v>99.9</v>
      </c>
      <c r="BC262">
        <v>0</v>
      </c>
      <c r="BD262">
        <v>46065</v>
      </c>
      <c r="BE262">
        <v>46068</v>
      </c>
    </row>
    <row r="263" spans="1:57" ht="15.2" customHeight="1" x14ac:dyDescent="0.25">
      <c r="A263" t="s">
        <v>326</v>
      </c>
      <c r="B263" t="s">
        <v>1055</v>
      </c>
      <c r="C263" t="s">
        <v>1013</v>
      </c>
      <c r="D263" t="s">
        <v>489</v>
      </c>
      <c r="E263" t="s">
        <v>420</v>
      </c>
      <c r="F263" t="s">
        <v>622</v>
      </c>
      <c r="G263" t="s">
        <v>469</v>
      </c>
      <c r="H263" t="s">
        <v>579</v>
      </c>
      <c r="I263" t="s">
        <v>422</v>
      </c>
      <c r="L263" t="s">
        <v>492</v>
      </c>
      <c r="N263" t="s">
        <v>424</v>
      </c>
      <c r="O263" t="s">
        <v>531</v>
      </c>
      <c r="P263" t="s">
        <v>425</v>
      </c>
      <c r="Q263" t="s">
        <v>98</v>
      </c>
      <c r="R263" t="s">
        <v>1058</v>
      </c>
      <c r="T263" t="s">
        <v>507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t="s">
        <v>428</v>
      </c>
      <c r="AG263" t="s">
        <v>429</v>
      </c>
      <c r="AH263" t="s">
        <v>429</v>
      </c>
      <c r="AI263" t="s">
        <v>429</v>
      </c>
      <c r="AJ263" t="s">
        <v>474</v>
      </c>
      <c r="AK263" t="s">
        <v>430</v>
      </c>
      <c r="AN263" t="s">
        <v>431</v>
      </c>
      <c r="AO263" t="s">
        <v>432</v>
      </c>
      <c r="AQ263">
        <v>0</v>
      </c>
      <c r="AR263">
        <v>0</v>
      </c>
      <c r="AS263">
        <v>0.35139999999999999</v>
      </c>
      <c r="AT263">
        <v>429</v>
      </c>
      <c r="AU263">
        <v>99.9</v>
      </c>
      <c r="AV263">
        <v>0.35139999999999999</v>
      </c>
      <c r="AW263">
        <v>429</v>
      </c>
      <c r="AX263">
        <v>99.9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46068</v>
      </c>
      <c r="BE263">
        <v>46091</v>
      </c>
    </row>
    <row r="264" spans="1:57" ht="15.2" customHeight="1" x14ac:dyDescent="0.25">
      <c r="A264" t="s">
        <v>326</v>
      </c>
      <c r="B264" t="s">
        <v>1055</v>
      </c>
      <c r="C264" t="s">
        <v>1013</v>
      </c>
      <c r="D264" t="s">
        <v>489</v>
      </c>
      <c r="E264" t="s">
        <v>420</v>
      </c>
      <c r="F264" t="s">
        <v>622</v>
      </c>
      <c r="G264" t="s">
        <v>469</v>
      </c>
      <c r="H264" t="s">
        <v>544</v>
      </c>
      <c r="I264" t="s">
        <v>422</v>
      </c>
      <c r="L264" t="s">
        <v>492</v>
      </c>
      <c r="N264" t="s">
        <v>424</v>
      </c>
      <c r="P264" t="s">
        <v>440</v>
      </c>
      <c r="Q264" t="s">
        <v>51</v>
      </c>
      <c r="R264" t="s">
        <v>1059</v>
      </c>
      <c r="T264" t="s">
        <v>507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t="s">
        <v>428</v>
      </c>
      <c r="AG264" t="s">
        <v>429</v>
      </c>
      <c r="AH264" t="s">
        <v>428</v>
      </c>
      <c r="AI264" t="s">
        <v>429</v>
      </c>
      <c r="AK264" t="s">
        <v>430</v>
      </c>
      <c r="AM264" t="s">
        <v>430</v>
      </c>
      <c r="AN264" t="s">
        <v>431</v>
      </c>
      <c r="AO264" t="s">
        <v>432</v>
      </c>
      <c r="AQ264">
        <v>0</v>
      </c>
      <c r="AR264">
        <v>0</v>
      </c>
      <c r="AS264">
        <v>0.35139999999999999</v>
      </c>
      <c r="AT264">
        <v>429</v>
      </c>
      <c r="AU264">
        <v>99.9</v>
      </c>
      <c r="AV264">
        <v>0.35139999999999999</v>
      </c>
      <c r="AW264">
        <v>429</v>
      </c>
      <c r="AX264">
        <v>99.9</v>
      </c>
      <c r="AY264">
        <v>0</v>
      </c>
      <c r="AZ264">
        <v>0.35139999999999999</v>
      </c>
      <c r="BA264">
        <v>429</v>
      </c>
      <c r="BB264">
        <v>99.9</v>
      </c>
      <c r="BC264">
        <v>0</v>
      </c>
      <c r="BD264">
        <v>46071</v>
      </c>
      <c r="BE264">
        <v>46072</v>
      </c>
    </row>
    <row r="265" spans="1:57" ht="15.2" customHeight="1" x14ac:dyDescent="0.25">
      <c r="A265" t="s">
        <v>225</v>
      </c>
      <c r="B265" t="s">
        <v>1060</v>
      </c>
      <c r="C265" t="s">
        <v>1013</v>
      </c>
      <c r="D265" t="s">
        <v>489</v>
      </c>
      <c r="E265" t="s">
        <v>420</v>
      </c>
      <c r="F265" t="s">
        <v>490</v>
      </c>
      <c r="G265" t="s">
        <v>469</v>
      </c>
      <c r="I265" t="s">
        <v>422</v>
      </c>
      <c r="L265" t="s">
        <v>492</v>
      </c>
      <c r="N265" t="s">
        <v>424</v>
      </c>
      <c r="O265" t="s">
        <v>496</v>
      </c>
      <c r="P265" t="s">
        <v>440</v>
      </c>
      <c r="Q265" t="s">
        <v>49</v>
      </c>
      <c r="R265" t="s">
        <v>1061</v>
      </c>
      <c r="S265" t="s">
        <v>422</v>
      </c>
      <c r="T265" t="s">
        <v>507</v>
      </c>
      <c r="W265">
        <v>46054.875</v>
      </c>
      <c r="X265">
        <v>46055.541666666664</v>
      </c>
      <c r="Y265">
        <v>46058</v>
      </c>
      <c r="Z265">
        <v>16</v>
      </c>
      <c r="AA265">
        <v>14.67</v>
      </c>
      <c r="AB265">
        <v>16.399999999999999</v>
      </c>
      <c r="AC265">
        <v>0</v>
      </c>
      <c r="AD265">
        <v>0</v>
      </c>
      <c r="AE265">
        <v>14.67</v>
      </c>
      <c r="AF265" t="s">
        <v>428</v>
      </c>
      <c r="AG265" t="s">
        <v>429</v>
      </c>
      <c r="AH265" t="s">
        <v>428</v>
      </c>
      <c r="AI265" t="s">
        <v>428</v>
      </c>
      <c r="AK265" t="s">
        <v>474</v>
      </c>
      <c r="AM265" t="s">
        <v>485</v>
      </c>
      <c r="AN265" t="s">
        <v>430</v>
      </c>
      <c r="AO265" t="s">
        <v>446</v>
      </c>
      <c r="AQ265">
        <v>478672.12</v>
      </c>
      <c r="AR265">
        <v>478672.12</v>
      </c>
      <c r="AS265">
        <v>83.046599999999998</v>
      </c>
      <c r="AT265">
        <v>130</v>
      </c>
      <c r="AU265">
        <v>22</v>
      </c>
      <c r="AV265">
        <v>83.046599999999998</v>
      </c>
      <c r="AW265">
        <v>130</v>
      </c>
      <c r="AX265">
        <v>22</v>
      </c>
      <c r="AY265">
        <v>0</v>
      </c>
      <c r="AZ265">
        <v>83.046599999999998</v>
      </c>
      <c r="BA265">
        <v>130</v>
      </c>
      <c r="BB265">
        <v>22</v>
      </c>
      <c r="BC265">
        <v>0</v>
      </c>
      <c r="BD265">
        <v>46046</v>
      </c>
      <c r="BE265">
        <v>46058</v>
      </c>
    </row>
    <row r="266" spans="1:57" ht="15.2" customHeight="1" x14ac:dyDescent="0.25">
      <c r="A266" t="s">
        <v>225</v>
      </c>
      <c r="B266" t="s">
        <v>1060</v>
      </c>
      <c r="C266" t="s">
        <v>1013</v>
      </c>
      <c r="D266" t="s">
        <v>489</v>
      </c>
      <c r="E266" t="s">
        <v>420</v>
      </c>
      <c r="F266" t="s">
        <v>490</v>
      </c>
      <c r="G266" t="s">
        <v>469</v>
      </c>
      <c r="I266" t="s">
        <v>422</v>
      </c>
      <c r="L266" t="s">
        <v>492</v>
      </c>
      <c r="N266" t="s">
        <v>424</v>
      </c>
      <c r="O266" t="s">
        <v>517</v>
      </c>
      <c r="P266" t="s">
        <v>425</v>
      </c>
      <c r="Q266" t="s">
        <v>157</v>
      </c>
      <c r="R266" t="s">
        <v>1062</v>
      </c>
      <c r="S266" t="s">
        <v>422</v>
      </c>
      <c r="T266" t="s">
        <v>507</v>
      </c>
      <c r="W266">
        <v>46070.875</v>
      </c>
      <c r="X266">
        <v>0</v>
      </c>
      <c r="Y266">
        <v>0</v>
      </c>
      <c r="Z266">
        <v>0</v>
      </c>
      <c r="AA266">
        <v>0</v>
      </c>
      <c r="AB266">
        <v>9.39</v>
      </c>
      <c r="AC266">
        <v>0</v>
      </c>
      <c r="AD266">
        <v>0</v>
      </c>
      <c r="AE266">
        <v>0</v>
      </c>
      <c r="AF266" t="s">
        <v>428</v>
      </c>
      <c r="AG266" t="s">
        <v>429</v>
      </c>
      <c r="AH266" t="s">
        <v>429</v>
      </c>
      <c r="AI266" t="s">
        <v>428</v>
      </c>
      <c r="AJ266" t="s">
        <v>474</v>
      </c>
      <c r="AK266" t="s">
        <v>474</v>
      </c>
      <c r="AN266" t="s">
        <v>430</v>
      </c>
      <c r="AO266" t="s">
        <v>446</v>
      </c>
      <c r="AQ266">
        <v>184970.54</v>
      </c>
      <c r="AR266">
        <v>184970.54</v>
      </c>
      <c r="AS266">
        <v>83.046599999999998</v>
      </c>
      <c r="AT266">
        <v>130</v>
      </c>
      <c r="AU266">
        <v>22</v>
      </c>
      <c r="AV266">
        <v>83.046599999999998</v>
      </c>
      <c r="AW266">
        <v>130</v>
      </c>
      <c r="AX266">
        <v>22</v>
      </c>
      <c r="AY266">
        <v>0</v>
      </c>
      <c r="AZ266">
        <v>119.7</v>
      </c>
      <c r="BA266">
        <v>243.5</v>
      </c>
      <c r="BB266">
        <v>40</v>
      </c>
      <c r="BC266">
        <v>0</v>
      </c>
      <c r="BD266">
        <v>46063</v>
      </c>
      <c r="BE266">
        <v>46083</v>
      </c>
    </row>
    <row r="267" spans="1:57" ht="15.2" customHeight="1" x14ac:dyDescent="0.25">
      <c r="A267" t="s">
        <v>275</v>
      </c>
      <c r="B267" t="s">
        <v>1063</v>
      </c>
      <c r="C267" t="s">
        <v>1013</v>
      </c>
      <c r="D267" t="s">
        <v>489</v>
      </c>
      <c r="E267" t="s">
        <v>420</v>
      </c>
      <c r="F267" t="s">
        <v>622</v>
      </c>
      <c r="G267" t="s">
        <v>469</v>
      </c>
      <c r="I267" t="s">
        <v>541</v>
      </c>
      <c r="L267" t="s">
        <v>492</v>
      </c>
      <c r="N267" t="s">
        <v>424</v>
      </c>
      <c r="O267" t="s">
        <v>960</v>
      </c>
      <c r="P267" t="s">
        <v>425</v>
      </c>
      <c r="Q267" t="s">
        <v>765</v>
      </c>
      <c r="R267" t="s">
        <v>1064</v>
      </c>
      <c r="S267" t="s">
        <v>541</v>
      </c>
      <c r="T267" t="s">
        <v>507</v>
      </c>
      <c r="W267">
        <v>46065.541666666664</v>
      </c>
      <c r="X267">
        <v>46067.083333333336</v>
      </c>
      <c r="Y267">
        <v>0</v>
      </c>
      <c r="Z267">
        <v>37</v>
      </c>
      <c r="AA267">
        <v>33.92</v>
      </c>
      <c r="AB267">
        <v>0</v>
      </c>
      <c r="AC267">
        <v>0</v>
      </c>
      <c r="AD267">
        <v>0</v>
      </c>
      <c r="AE267">
        <v>33.92</v>
      </c>
      <c r="AF267" t="s">
        <v>429</v>
      </c>
      <c r="AG267" t="s">
        <v>429</v>
      </c>
      <c r="AH267" t="s">
        <v>429</v>
      </c>
      <c r="AI267" t="s">
        <v>429</v>
      </c>
      <c r="AN267" t="s">
        <v>431</v>
      </c>
      <c r="AO267" t="s">
        <v>432</v>
      </c>
      <c r="AQ267">
        <v>0</v>
      </c>
      <c r="AR267">
        <v>0</v>
      </c>
      <c r="AS267">
        <v>354.79079999999999</v>
      </c>
      <c r="AT267">
        <v>456</v>
      </c>
      <c r="AU267">
        <v>5</v>
      </c>
      <c r="AV267">
        <v>354.79079999999999</v>
      </c>
      <c r="AW267">
        <v>456</v>
      </c>
      <c r="AX267">
        <v>5</v>
      </c>
      <c r="AY267">
        <v>0</v>
      </c>
      <c r="AZ267">
        <v>354.79079999999999</v>
      </c>
      <c r="BA267">
        <v>456</v>
      </c>
      <c r="BB267">
        <v>5</v>
      </c>
      <c r="BC267">
        <v>0</v>
      </c>
      <c r="BD267">
        <v>46065</v>
      </c>
      <c r="BE267">
        <v>46068</v>
      </c>
    </row>
    <row r="268" spans="1:57" ht="15.2" customHeight="1" x14ac:dyDescent="0.25">
      <c r="A268" t="s">
        <v>346</v>
      </c>
      <c r="B268" t="s">
        <v>1065</v>
      </c>
      <c r="C268" t="s">
        <v>1066</v>
      </c>
      <c r="D268" t="s">
        <v>489</v>
      </c>
      <c r="E268" t="s">
        <v>420</v>
      </c>
      <c r="F268" t="s">
        <v>622</v>
      </c>
      <c r="G268" t="s">
        <v>469</v>
      </c>
      <c r="H268" t="s">
        <v>579</v>
      </c>
      <c r="I268" t="s">
        <v>422</v>
      </c>
      <c r="L268" t="s">
        <v>492</v>
      </c>
      <c r="N268" t="s">
        <v>424</v>
      </c>
      <c r="O268" t="s">
        <v>496</v>
      </c>
      <c r="P268" t="s">
        <v>425</v>
      </c>
      <c r="Q268" t="s">
        <v>157</v>
      </c>
      <c r="R268" t="s">
        <v>1067</v>
      </c>
      <c r="S268" t="s">
        <v>422</v>
      </c>
      <c r="T268" t="s">
        <v>507</v>
      </c>
      <c r="W268">
        <v>46070.041666666664</v>
      </c>
      <c r="X268">
        <v>0</v>
      </c>
      <c r="Y268">
        <v>45822</v>
      </c>
      <c r="Z268">
        <v>0</v>
      </c>
      <c r="AA268">
        <v>0</v>
      </c>
      <c r="AB268">
        <v>17.900000000000002</v>
      </c>
      <c r="AC268">
        <v>0</v>
      </c>
      <c r="AD268">
        <v>0</v>
      </c>
      <c r="AE268">
        <v>0</v>
      </c>
      <c r="AF268" t="s">
        <v>428</v>
      </c>
      <c r="AG268" t="s">
        <v>429</v>
      </c>
      <c r="AH268" t="s">
        <v>429</v>
      </c>
      <c r="AI268" t="s">
        <v>428</v>
      </c>
      <c r="AJ268" t="s">
        <v>474</v>
      </c>
      <c r="AK268" t="s">
        <v>430</v>
      </c>
      <c r="AN268" t="s">
        <v>430</v>
      </c>
      <c r="AO268" t="s">
        <v>446</v>
      </c>
      <c r="AQ268">
        <v>352724.27</v>
      </c>
      <c r="AR268">
        <v>352724.27</v>
      </c>
      <c r="AS268">
        <v>72.358699999999999</v>
      </c>
      <c r="AT268">
        <v>95</v>
      </c>
      <c r="AU268">
        <v>7</v>
      </c>
      <c r="AV268">
        <v>72.358699999999999</v>
      </c>
      <c r="AW268">
        <v>95</v>
      </c>
      <c r="AX268">
        <v>7</v>
      </c>
      <c r="AY268">
        <v>0</v>
      </c>
      <c r="AZ268">
        <v>161.9</v>
      </c>
      <c r="BA268">
        <v>232.6</v>
      </c>
      <c r="BB268">
        <v>15</v>
      </c>
      <c r="BC268">
        <v>0</v>
      </c>
      <c r="BD268">
        <v>46069</v>
      </c>
      <c r="BE268">
        <v>46083</v>
      </c>
    </row>
    <row r="269" spans="1:57" ht="15.2" customHeight="1" x14ac:dyDescent="0.25">
      <c r="A269" t="s">
        <v>346</v>
      </c>
      <c r="B269" t="s">
        <v>1065</v>
      </c>
      <c r="C269" t="s">
        <v>1066</v>
      </c>
      <c r="D269" t="s">
        <v>489</v>
      </c>
      <c r="E269" t="s">
        <v>420</v>
      </c>
      <c r="F269" t="s">
        <v>622</v>
      </c>
      <c r="G269" t="s">
        <v>469</v>
      </c>
      <c r="H269" t="s">
        <v>579</v>
      </c>
      <c r="I269" t="s">
        <v>422</v>
      </c>
      <c r="L269" t="s">
        <v>492</v>
      </c>
      <c r="N269" t="s">
        <v>424</v>
      </c>
      <c r="P269" t="s">
        <v>440</v>
      </c>
      <c r="Q269" t="s">
        <v>51</v>
      </c>
      <c r="R269" t="s">
        <v>1068</v>
      </c>
      <c r="T269" t="s">
        <v>507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428</v>
      </c>
      <c r="AG269" t="s">
        <v>429</v>
      </c>
      <c r="AH269" t="s">
        <v>428</v>
      </c>
      <c r="AI269" t="s">
        <v>429</v>
      </c>
      <c r="AK269" t="s">
        <v>430</v>
      </c>
      <c r="AM269" t="s">
        <v>430</v>
      </c>
      <c r="AN269" t="s">
        <v>431</v>
      </c>
      <c r="AO269" t="s">
        <v>432</v>
      </c>
      <c r="AQ269">
        <v>0</v>
      </c>
      <c r="AR269">
        <v>0</v>
      </c>
      <c r="AS269">
        <v>72.358699999999999</v>
      </c>
      <c r="AT269">
        <v>95</v>
      </c>
      <c r="AU269">
        <v>7</v>
      </c>
      <c r="AV269">
        <v>72.358699999999999</v>
      </c>
      <c r="AW269">
        <v>95</v>
      </c>
      <c r="AX269">
        <v>7</v>
      </c>
      <c r="AY269">
        <v>0</v>
      </c>
      <c r="AZ269">
        <v>72.358699999999999</v>
      </c>
      <c r="BA269">
        <v>95</v>
      </c>
      <c r="BB269">
        <v>7</v>
      </c>
      <c r="BC269">
        <v>0</v>
      </c>
      <c r="BD269">
        <v>46069</v>
      </c>
      <c r="BE269">
        <v>46079</v>
      </c>
    </row>
    <row r="270" spans="1:57" ht="15.2" customHeight="1" x14ac:dyDescent="0.25">
      <c r="A270" t="s">
        <v>1069</v>
      </c>
      <c r="B270" t="s">
        <v>1070</v>
      </c>
      <c r="C270" t="s">
        <v>1066</v>
      </c>
      <c r="D270" t="s">
        <v>489</v>
      </c>
      <c r="E270" t="s">
        <v>420</v>
      </c>
      <c r="F270" t="s">
        <v>622</v>
      </c>
      <c r="G270" t="s">
        <v>469</v>
      </c>
      <c r="H270" t="s">
        <v>579</v>
      </c>
      <c r="I270" t="s">
        <v>422</v>
      </c>
      <c r="L270" t="s">
        <v>492</v>
      </c>
      <c r="N270" t="s">
        <v>424</v>
      </c>
      <c r="O270" t="s">
        <v>560</v>
      </c>
      <c r="P270" t="s">
        <v>425</v>
      </c>
      <c r="Q270" t="s">
        <v>84</v>
      </c>
      <c r="R270" t="s">
        <v>1071</v>
      </c>
      <c r="S270" t="s">
        <v>422</v>
      </c>
      <c r="T270" t="s">
        <v>507</v>
      </c>
      <c r="W270">
        <v>46059.041666666664</v>
      </c>
      <c r="X270">
        <v>46062.833333333336</v>
      </c>
      <c r="Y270">
        <v>45923</v>
      </c>
      <c r="Z270">
        <v>91</v>
      </c>
      <c r="AA270">
        <v>83.42</v>
      </c>
      <c r="AB270">
        <v>31.53</v>
      </c>
      <c r="AC270">
        <v>9.5</v>
      </c>
      <c r="AD270">
        <v>30.5</v>
      </c>
      <c r="AE270">
        <v>52.92</v>
      </c>
      <c r="AF270" t="s">
        <v>428</v>
      </c>
      <c r="AG270" t="s">
        <v>429</v>
      </c>
      <c r="AH270" t="s">
        <v>429</v>
      </c>
      <c r="AI270" t="s">
        <v>428</v>
      </c>
      <c r="AJ270" t="s">
        <v>474</v>
      </c>
      <c r="AK270" t="s">
        <v>430</v>
      </c>
      <c r="AN270" t="s">
        <v>430</v>
      </c>
      <c r="AO270" t="s">
        <v>446</v>
      </c>
      <c r="AQ270">
        <v>1109226.33</v>
      </c>
      <c r="AR270">
        <v>1109226.33</v>
      </c>
      <c r="AS270">
        <v>21.8919</v>
      </c>
      <c r="AT270">
        <v>27</v>
      </c>
      <c r="AU270">
        <v>1</v>
      </c>
      <c r="AV270">
        <v>21.8919</v>
      </c>
      <c r="AW270">
        <v>27</v>
      </c>
      <c r="AX270">
        <v>1</v>
      </c>
      <c r="AY270">
        <v>0</v>
      </c>
      <c r="AZ270">
        <v>21.8919</v>
      </c>
      <c r="BA270">
        <v>27</v>
      </c>
      <c r="BB270">
        <v>1</v>
      </c>
      <c r="BC270">
        <v>0</v>
      </c>
      <c r="BD270">
        <v>46058</v>
      </c>
      <c r="BE270">
        <v>46068</v>
      </c>
    </row>
    <row r="271" spans="1:57" ht="15.2" customHeight="1" x14ac:dyDescent="0.25">
      <c r="A271" t="s">
        <v>1072</v>
      </c>
      <c r="B271" t="s">
        <v>1073</v>
      </c>
      <c r="C271" t="s">
        <v>1066</v>
      </c>
      <c r="D271" t="s">
        <v>489</v>
      </c>
      <c r="E271" t="s">
        <v>420</v>
      </c>
      <c r="F271" t="s">
        <v>490</v>
      </c>
      <c r="G271" t="s">
        <v>469</v>
      </c>
      <c r="L271" t="s">
        <v>492</v>
      </c>
      <c r="N271" t="s">
        <v>424</v>
      </c>
      <c r="O271" t="s">
        <v>718</v>
      </c>
      <c r="P271" t="s">
        <v>425</v>
      </c>
      <c r="Q271" t="s">
        <v>48</v>
      </c>
      <c r="R271" t="s">
        <v>1074</v>
      </c>
      <c r="W271">
        <v>46031.875</v>
      </c>
      <c r="X271">
        <v>46059.375</v>
      </c>
      <c r="Y271">
        <v>46001</v>
      </c>
      <c r="Z271">
        <v>657</v>
      </c>
      <c r="AA271">
        <v>602.25</v>
      </c>
      <c r="AB271">
        <v>595.43000000000006</v>
      </c>
      <c r="AC271">
        <v>323.42</v>
      </c>
      <c r="AD271">
        <v>333.76</v>
      </c>
      <c r="AE271">
        <v>268.49</v>
      </c>
      <c r="AF271" t="s">
        <v>428</v>
      </c>
      <c r="AG271" t="s">
        <v>429</v>
      </c>
      <c r="AH271" t="s">
        <v>429</v>
      </c>
      <c r="AI271" t="s">
        <v>428</v>
      </c>
      <c r="AJ271" t="s">
        <v>474</v>
      </c>
      <c r="AK271" t="s">
        <v>474</v>
      </c>
      <c r="AN271" t="s">
        <v>498</v>
      </c>
      <c r="AO271" t="s">
        <v>446</v>
      </c>
      <c r="AQ271">
        <v>14472934.550000001</v>
      </c>
      <c r="AR271">
        <v>14472934.550000001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186.6</v>
      </c>
      <c r="BA271">
        <v>268</v>
      </c>
      <c r="BB271">
        <v>15</v>
      </c>
      <c r="BC271">
        <v>0</v>
      </c>
      <c r="BD271">
        <v>46034</v>
      </c>
      <c r="BE271">
        <v>46044</v>
      </c>
    </row>
    <row r="272" spans="1:57" ht="15.2" customHeight="1" x14ac:dyDescent="0.25">
      <c r="A272" t="s">
        <v>1072</v>
      </c>
      <c r="B272" t="s">
        <v>1073</v>
      </c>
      <c r="C272" t="s">
        <v>1066</v>
      </c>
      <c r="D272" t="s">
        <v>489</v>
      </c>
      <c r="E272" t="s">
        <v>420</v>
      </c>
      <c r="F272" t="s">
        <v>490</v>
      </c>
      <c r="G272" t="s">
        <v>469</v>
      </c>
      <c r="I272" t="s">
        <v>471</v>
      </c>
      <c r="L272" t="s">
        <v>492</v>
      </c>
      <c r="N272" t="s">
        <v>424</v>
      </c>
      <c r="O272" t="s">
        <v>560</v>
      </c>
      <c r="P272" t="s">
        <v>425</v>
      </c>
      <c r="Q272" t="s">
        <v>109</v>
      </c>
      <c r="R272" t="s">
        <v>1075</v>
      </c>
      <c r="S272" t="s">
        <v>471</v>
      </c>
      <c r="T272" t="s">
        <v>507</v>
      </c>
      <c r="W272">
        <v>46066.25</v>
      </c>
      <c r="X272">
        <v>46068.916666666664</v>
      </c>
      <c r="Y272">
        <v>46001</v>
      </c>
      <c r="Z272">
        <v>64</v>
      </c>
      <c r="AA272">
        <v>58.67</v>
      </c>
      <c r="AB272">
        <v>11.88</v>
      </c>
      <c r="AC272">
        <v>0</v>
      </c>
      <c r="AD272">
        <v>3</v>
      </c>
      <c r="AE272">
        <v>55.67</v>
      </c>
      <c r="AF272" t="s">
        <v>428</v>
      </c>
      <c r="AG272" t="s">
        <v>429</v>
      </c>
      <c r="AH272" t="s">
        <v>429</v>
      </c>
      <c r="AI272" t="s">
        <v>428</v>
      </c>
      <c r="AJ272" t="s">
        <v>474</v>
      </c>
      <c r="AK272" t="s">
        <v>474</v>
      </c>
      <c r="AN272" t="s">
        <v>430</v>
      </c>
      <c r="AO272" t="s">
        <v>446</v>
      </c>
      <c r="AQ272">
        <v>476108.75</v>
      </c>
      <c r="AR272">
        <v>476108.75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186</v>
      </c>
      <c r="BA272">
        <v>268</v>
      </c>
      <c r="BB272">
        <v>0</v>
      </c>
      <c r="BC272">
        <v>0</v>
      </c>
      <c r="BD272">
        <v>46065</v>
      </c>
      <c r="BE272">
        <v>46070</v>
      </c>
    </row>
    <row r="273" spans="1:57" ht="15.2" customHeight="1" x14ac:dyDescent="0.25">
      <c r="A273" t="s">
        <v>1072</v>
      </c>
      <c r="B273" t="s">
        <v>1073</v>
      </c>
      <c r="C273" t="s">
        <v>1066</v>
      </c>
      <c r="D273" t="s">
        <v>489</v>
      </c>
      <c r="E273" t="s">
        <v>420</v>
      </c>
      <c r="F273" t="s">
        <v>490</v>
      </c>
      <c r="G273" t="s">
        <v>469</v>
      </c>
      <c r="L273" t="s">
        <v>492</v>
      </c>
      <c r="N273" t="s">
        <v>424</v>
      </c>
      <c r="O273" t="s">
        <v>493</v>
      </c>
      <c r="P273" t="s">
        <v>440</v>
      </c>
      <c r="Q273" t="s">
        <v>594</v>
      </c>
      <c r="R273" t="s">
        <v>1076</v>
      </c>
      <c r="W273">
        <v>46058.875</v>
      </c>
      <c r="X273">
        <v>46060.625</v>
      </c>
      <c r="Y273">
        <v>0</v>
      </c>
      <c r="Z273">
        <v>42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429</v>
      </c>
      <c r="AG273" t="s">
        <v>429</v>
      </c>
      <c r="AH273" t="s">
        <v>429</v>
      </c>
      <c r="AI273" t="s">
        <v>429</v>
      </c>
      <c r="AN273" t="s">
        <v>431</v>
      </c>
      <c r="AO273" t="s">
        <v>432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46058</v>
      </c>
      <c r="BE273">
        <v>46061</v>
      </c>
    </row>
    <row r="274" spans="1:57" ht="15.2" customHeight="1" x14ac:dyDescent="0.25">
      <c r="A274" t="s">
        <v>199</v>
      </c>
      <c r="B274" t="s">
        <v>1077</v>
      </c>
      <c r="C274" t="s">
        <v>1066</v>
      </c>
      <c r="D274" t="s">
        <v>489</v>
      </c>
      <c r="E274" t="s">
        <v>420</v>
      </c>
      <c r="F274" t="s">
        <v>622</v>
      </c>
      <c r="G274" t="s">
        <v>469</v>
      </c>
      <c r="H274" t="s">
        <v>579</v>
      </c>
      <c r="I274" t="s">
        <v>541</v>
      </c>
      <c r="L274" t="s">
        <v>492</v>
      </c>
      <c r="N274" t="s">
        <v>424</v>
      </c>
      <c r="O274" t="s">
        <v>619</v>
      </c>
      <c r="P274" t="s">
        <v>425</v>
      </c>
      <c r="Q274" t="s">
        <v>154</v>
      </c>
      <c r="R274" t="s">
        <v>624</v>
      </c>
      <c r="T274" t="s">
        <v>507</v>
      </c>
      <c r="W274">
        <v>46069.958333333336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 t="s">
        <v>428</v>
      </c>
      <c r="AG274" t="s">
        <v>429</v>
      </c>
      <c r="AH274" t="s">
        <v>429</v>
      </c>
      <c r="AI274" t="s">
        <v>429</v>
      </c>
      <c r="AJ274" t="s">
        <v>474</v>
      </c>
      <c r="AK274" t="s">
        <v>474</v>
      </c>
      <c r="AN274" t="s">
        <v>431</v>
      </c>
      <c r="AO274" t="s">
        <v>432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173.3</v>
      </c>
      <c r="BA274">
        <v>267</v>
      </c>
      <c r="BB274">
        <v>20</v>
      </c>
      <c r="BC274">
        <v>0</v>
      </c>
      <c r="BD274">
        <v>46069</v>
      </c>
      <c r="BE274">
        <v>46079</v>
      </c>
    </row>
    <row r="275" spans="1:57" ht="15.2" customHeight="1" x14ac:dyDescent="0.25">
      <c r="A275" t="s">
        <v>1078</v>
      </c>
      <c r="B275" t="s">
        <v>1079</v>
      </c>
      <c r="D275" t="s">
        <v>437</v>
      </c>
      <c r="E275" t="s">
        <v>420</v>
      </c>
      <c r="G275" t="s">
        <v>421</v>
      </c>
      <c r="I275" t="s">
        <v>541</v>
      </c>
      <c r="N275" t="s">
        <v>424</v>
      </c>
      <c r="P275" t="s">
        <v>425</v>
      </c>
      <c r="Q275" t="s">
        <v>84</v>
      </c>
      <c r="R275" t="s">
        <v>93</v>
      </c>
      <c r="T275" t="s">
        <v>507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428</v>
      </c>
      <c r="AG275" t="s">
        <v>429</v>
      </c>
      <c r="AH275" t="s">
        <v>429</v>
      </c>
      <c r="AI275" t="s">
        <v>429</v>
      </c>
      <c r="AJ275" t="s">
        <v>430</v>
      </c>
      <c r="AK275" t="s">
        <v>430</v>
      </c>
      <c r="AN275" t="s">
        <v>431</v>
      </c>
      <c r="AO275" t="s">
        <v>432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46070</v>
      </c>
      <c r="BE275">
        <v>46072</v>
      </c>
    </row>
    <row r="276" spans="1:57" ht="15.2" customHeight="1" x14ac:dyDescent="0.25">
      <c r="A276" t="s">
        <v>1080</v>
      </c>
      <c r="B276" t="s">
        <v>1081</v>
      </c>
      <c r="C276" t="s">
        <v>691</v>
      </c>
      <c r="D276" t="s">
        <v>437</v>
      </c>
      <c r="E276" t="s">
        <v>420</v>
      </c>
      <c r="F276" t="s">
        <v>501</v>
      </c>
      <c r="G276" t="s">
        <v>502</v>
      </c>
      <c r="H276" t="s">
        <v>544</v>
      </c>
      <c r="I276" t="s">
        <v>541</v>
      </c>
      <c r="L276" t="s">
        <v>504</v>
      </c>
      <c r="N276" t="s">
        <v>424</v>
      </c>
      <c r="O276" t="s">
        <v>574</v>
      </c>
      <c r="P276" t="s">
        <v>425</v>
      </c>
      <c r="Q276" t="s">
        <v>165</v>
      </c>
      <c r="R276" t="s">
        <v>150</v>
      </c>
      <c r="S276" t="s">
        <v>541</v>
      </c>
      <c r="T276" t="s">
        <v>507</v>
      </c>
      <c r="W276">
        <v>46071</v>
      </c>
      <c r="X276">
        <v>0</v>
      </c>
      <c r="Y276">
        <v>43448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429</v>
      </c>
      <c r="AG276" t="s">
        <v>429</v>
      </c>
      <c r="AH276" t="s">
        <v>429</v>
      </c>
      <c r="AI276" t="s">
        <v>429</v>
      </c>
      <c r="AN276" t="s">
        <v>431</v>
      </c>
      <c r="AO276" t="s">
        <v>432</v>
      </c>
      <c r="AQ276">
        <v>0</v>
      </c>
      <c r="AR276">
        <v>0</v>
      </c>
      <c r="AS276">
        <v>6.0489000000000006</v>
      </c>
      <c r="AT276">
        <v>7</v>
      </c>
      <c r="AU276">
        <v>0.1</v>
      </c>
      <c r="AV276">
        <v>6.0489000000000006</v>
      </c>
      <c r="AW276">
        <v>7</v>
      </c>
      <c r="AX276">
        <v>0.1</v>
      </c>
      <c r="AY276">
        <v>0</v>
      </c>
      <c r="AZ276">
        <v>6.0489000000000006</v>
      </c>
      <c r="BA276">
        <v>7</v>
      </c>
      <c r="BB276">
        <v>0.1</v>
      </c>
      <c r="BC276">
        <v>0</v>
      </c>
      <c r="BD276">
        <v>46070</v>
      </c>
      <c r="BE276">
        <v>46097</v>
      </c>
    </row>
    <row r="277" spans="1:57" ht="15.2" customHeight="1" x14ac:dyDescent="0.25">
      <c r="A277" t="s">
        <v>1080</v>
      </c>
      <c r="B277" t="s">
        <v>1081</v>
      </c>
      <c r="C277" t="s">
        <v>691</v>
      </c>
      <c r="D277" t="s">
        <v>437</v>
      </c>
      <c r="E277" t="s">
        <v>420</v>
      </c>
      <c r="F277" t="s">
        <v>501</v>
      </c>
      <c r="G277" t="s">
        <v>502</v>
      </c>
      <c r="H277" t="s">
        <v>544</v>
      </c>
      <c r="I277" t="s">
        <v>541</v>
      </c>
      <c r="L277" t="s">
        <v>504</v>
      </c>
      <c r="N277" t="s">
        <v>424</v>
      </c>
      <c r="O277" t="s">
        <v>454</v>
      </c>
      <c r="P277" t="s">
        <v>425</v>
      </c>
      <c r="Q277" t="s">
        <v>165</v>
      </c>
      <c r="R277" t="s">
        <v>150</v>
      </c>
      <c r="S277" t="s">
        <v>541</v>
      </c>
      <c r="T277" t="s">
        <v>507</v>
      </c>
      <c r="W277">
        <v>46062.819444444445</v>
      </c>
      <c r="X277">
        <v>46067.208333333336</v>
      </c>
      <c r="Y277">
        <v>43448</v>
      </c>
      <c r="Z277">
        <v>105.33</v>
      </c>
      <c r="AA277">
        <v>96.56</v>
      </c>
      <c r="AB277">
        <v>94</v>
      </c>
      <c r="AC277">
        <v>0</v>
      </c>
      <c r="AD277">
        <v>4</v>
      </c>
      <c r="AE277">
        <v>92.56</v>
      </c>
      <c r="AF277" t="s">
        <v>428</v>
      </c>
      <c r="AG277" t="s">
        <v>429</v>
      </c>
      <c r="AH277" t="s">
        <v>429</v>
      </c>
      <c r="AI277" t="s">
        <v>428</v>
      </c>
      <c r="AJ277" t="s">
        <v>474</v>
      </c>
      <c r="AK277" t="s">
        <v>474</v>
      </c>
      <c r="AN277" t="s">
        <v>430</v>
      </c>
      <c r="AO277" t="s">
        <v>446</v>
      </c>
      <c r="AQ277">
        <v>2144380.54</v>
      </c>
      <c r="AR277">
        <v>2144380.54</v>
      </c>
      <c r="AS277">
        <v>0</v>
      </c>
      <c r="AT277">
        <v>0</v>
      </c>
      <c r="AU277">
        <v>0</v>
      </c>
      <c r="AV277">
        <v>6.0489000000000006</v>
      </c>
      <c r="AW277">
        <v>7</v>
      </c>
      <c r="AX277">
        <v>0.1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46062</v>
      </c>
      <c r="BE277">
        <v>46097</v>
      </c>
    </row>
    <row r="278" spans="1:57" ht="15.2" customHeight="1" x14ac:dyDescent="0.25">
      <c r="A278" t="s">
        <v>94</v>
      </c>
      <c r="B278" t="s">
        <v>1082</v>
      </c>
      <c r="C278" t="s">
        <v>813</v>
      </c>
      <c r="D278" t="s">
        <v>489</v>
      </c>
      <c r="E278" t="s">
        <v>420</v>
      </c>
      <c r="F278" t="s">
        <v>622</v>
      </c>
      <c r="G278" t="s">
        <v>469</v>
      </c>
      <c r="I278" t="s">
        <v>541</v>
      </c>
      <c r="L278" t="s">
        <v>492</v>
      </c>
      <c r="N278" t="s">
        <v>424</v>
      </c>
      <c r="O278" t="s">
        <v>960</v>
      </c>
      <c r="P278" t="s">
        <v>425</v>
      </c>
      <c r="Q278" t="s">
        <v>765</v>
      </c>
      <c r="R278" t="s">
        <v>962</v>
      </c>
      <c r="S278" t="s">
        <v>541</v>
      </c>
      <c r="T278" t="s">
        <v>507</v>
      </c>
      <c r="W278">
        <v>46047.666666666664</v>
      </c>
      <c r="X278">
        <v>46059.604166666664</v>
      </c>
      <c r="Y278">
        <v>0</v>
      </c>
      <c r="Z278">
        <v>286.5</v>
      </c>
      <c r="AA278">
        <v>262.63</v>
      </c>
      <c r="AB278">
        <v>0</v>
      </c>
      <c r="AC278">
        <v>0</v>
      </c>
      <c r="AD278">
        <v>0</v>
      </c>
      <c r="AE278">
        <v>262.63</v>
      </c>
      <c r="AF278" t="s">
        <v>429</v>
      </c>
      <c r="AG278" t="s">
        <v>429</v>
      </c>
      <c r="AH278" t="s">
        <v>429</v>
      </c>
      <c r="AI278" t="s">
        <v>429</v>
      </c>
      <c r="AN278" t="s">
        <v>431</v>
      </c>
      <c r="AO278" t="s">
        <v>432</v>
      </c>
      <c r="AQ278">
        <v>0</v>
      </c>
      <c r="AR278">
        <v>0</v>
      </c>
      <c r="AS278">
        <v>440.24530000000004</v>
      </c>
      <c r="AT278">
        <v>578</v>
      </c>
      <c r="AU278">
        <v>7</v>
      </c>
      <c r="AV278">
        <v>419.459</v>
      </c>
      <c r="AW278">
        <v>528</v>
      </c>
      <c r="AX278">
        <v>3</v>
      </c>
      <c r="AY278">
        <v>0</v>
      </c>
      <c r="AZ278">
        <v>440.24530000000004</v>
      </c>
      <c r="BA278">
        <v>578</v>
      </c>
      <c r="BB278">
        <v>7</v>
      </c>
      <c r="BC278">
        <v>0</v>
      </c>
      <c r="BD278">
        <v>46047</v>
      </c>
      <c r="BE278">
        <v>46061</v>
      </c>
    </row>
    <row r="279" spans="1:57" ht="15.2" customHeight="1" x14ac:dyDescent="0.25">
      <c r="A279" t="s">
        <v>94</v>
      </c>
      <c r="B279" t="s">
        <v>1082</v>
      </c>
      <c r="C279" t="s">
        <v>813</v>
      </c>
      <c r="D279" t="s">
        <v>489</v>
      </c>
      <c r="E279" t="s">
        <v>420</v>
      </c>
      <c r="F279" t="s">
        <v>622</v>
      </c>
      <c r="G279" t="s">
        <v>469</v>
      </c>
      <c r="I279" t="s">
        <v>541</v>
      </c>
      <c r="L279" t="s">
        <v>492</v>
      </c>
      <c r="N279" t="s">
        <v>424</v>
      </c>
      <c r="O279" t="s">
        <v>1083</v>
      </c>
      <c r="P279" t="s">
        <v>425</v>
      </c>
      <c r="Q279" t="s">
        <v>765</v>
      </c>
      <c r="R279" t="s">
        <v>962</v>
      </c>
      <c r="S279" t="s">
        <v>541</v>
      </c>
      <c r="T279" t="s">
        <v>507</v>
      </c>
      <c r="W279">
        <v>46059.375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 t="s">
        <v>429</v>
      </c>
      <c r="AG279" t="s">
        <v>429</v>
      </c>
      <c r="AH279" t="s">
        <v>429</v>
      </c>
      <c r="AI279" t="s">
        <v>429</v>
      </c>
      <c r="AN279" t="s">
        <v>431</v>
      </c>
      <c r="AO279" t="s">
        <v>432</v>
      </c>
      <c r="AQ279">
        <v>0</v>
      </c>
      <c r="AR279">
        <v>0</v>
      </c>
      <c r="AS279">
        <v>419.459</v>
      </c>
      <c r="AT279">
        <v>528</v>
      </c>
      <c r="AU279">
        <v>3</v>
      </c>
      <c r="AV279">
        <v>261.45760000000001</v>
      </c>
      <c r="AW279">
        <v>347</v>
      </c>
      <c r="AX279">
        <v>8</v>
      </c>
      <c r="AY279">
        <v>0</v>
      </c>
      <c r="AZ279">
        <v>419.459</v>
      </c>
      <c r="BA279">
        <v>528</v>
      </c>
      <c r="BB279">
        <v>3</v>
      </c>
      <c r="BC279">
        <v>0</v>
      </c>
      <c r="BD279">
        <v>46059</v>
      </c>
      <c r="BE279">
        <v>46081</v>
      </c>
    </row>
    <row r="280" spans="1:57" ht="15.2" customHeight="1" x14ac:dyDescent="0.25">
      <c r="A280" t="s">
        <v>94</v>
      </c>
      <c r="B280" t="s">
        <v>1082</v>
      </c>
      <c r="C280" t="s">
        <v>813</v>
      </c>
      <c r="D280" t="s">
        <v>489</v>
      </c>
      <c r="E280" t="s">
        <v>420</v>
      </c>
      <c r="F280" t="s">
        <v>622</v>
      </c>
      <c r="G280" t="s">
        <v>469</v>
      </c>
      <c r="I280" t="s">
        <v>541</v>
      </c>
      <c r="L280" t="s">
        <v>492</v>
      </c>
      <c r="N280" t="s">
        <v>424</v>
      </c>
      <c r="O280" t="s">
        <v>960</v>
      </c>
      <c r="P280" t="s">
        <v>425</v>
      </c>
      <c r="Q280" t="s">
        <v>765</v>
      </c>
      <c r="R280" t="s">
        <v>1084</v>
      </c>
      <c r="T280" t="s">
        <v>507</v>
      </c>
      <c r="W280">
        <v>46010.875</v>
      </c>
      <c r="X280">
        <v>46033.916666666664</v>
      </c>
      <c r="Y280">
        <v>0</v>
      </c>
      <c r="Z280">
        <v>541</v>
      </c>
      <c r="AA280">
        <v>495.92</v>
      </c>
      <c r="AB280">
        <v>0</v>
      </c>
      <c r="AC280">
        <v>0</v>
      </c>
      <c r="AD280">
        <v>6</v>
      </c>
      <c r="AE280">
        <v>489.92</v>
      </c>
      <c r="AF280" t="s">
        <v>428</v>
      </c>
      <c r="AG280" t="s">
        <v>429</v>
      </c>
      <c r="AH280" t="s">
        <v>429</v>
      </c>
      <c r="AI280" t="s">
        <v>429</v>
      </c>
      <c r="AJ280" t="s">
        <v>430</v>
      </c>
      <c r="AK280" t="s">
        <v>430</v>
      </c>
      <c r="AN280" t="s">
        <v>431</v>
      </c>
      <c r="AO280" t="s">
        <v>432</v>
      </c>
      <c r="AQ280">
        <v>0</v>
      </c>
      <c r="AR280">
        <v>0</v>
      </c>
      <c r="AS280">
        <v>263.75900000000001</v>
      </c>
      <c r="AT280">
        <v>339</v>
      </c>
      <c r="AU280">
        <v>5</v>
      </c>
      <c r="AV280">
        <v>373.93080000000003</v>
      </c>
      <c r="AW280">
        <v>513</v>
      </c>
      <c r="AX280">
        <v>11</v>
      </c>
      <c r="AY280">
        <v>0</v>
      </c>
      <c r="AZ280">
        <v>263.75900000000001</v>
      </c>
      <c r="BA280">
        <v>339</v>
      </c>
      <c r="BB280">
        <v>5</v>
      </c>
      <c r="BC280">
        <v>0</v>
      </c>
      <c r="BD280">
        <v>46010</v>
      </c>
      <c r="BE280">
        <v>46387</v>
      </c>
    </row>
    <row r="281" spans="1:57" ht="15.2" customHeight="1" x14ac:dyDescent="0.25">
      <c r="A281" t="s">
        <v>1085</v>
      </c>
      <c r="B281" t="s">
        <v>1086</v>
      </c>
      <c r="C281" t="s">
        <v>548</v>
      </c>
      <c r="D281" t="s">
        <v>698</v>
      </c>
      <c r="E281" t="s">
        <v>420</v>
      </c>
      <c r="F281" t="s">
        <v>699</v>
      </c>
      <c r="G281" t="s">
        <v>469</v>
      </c>
      <c r="H281" t="s">
        <v>579</v>
      </c>
      <c r="I281" t="s">
        <v>422</v>
      </c>
      <c r="L281" t="s">
        <v>472</v>
      </c>
      <c r="N281" t="s">
        <v>424</v>
      </c>
      <c r="O281" t="s">
        <v>560</v>
      </c>
      <c r="P281" t="s">
        <v>425</v>
      </c>
      <c r="Q281" t="s">
        <v>84</v>
      </c>
      <c r="R281" t="s">
        <v>645</v>
      </c>
      <c r="S281" t="s">
        <v>422</v>
      </c>
      <c r="T281" t="s">
        <v>507</v>
      </c>
      <c r="W281">
        <v>46062.833333333336</v>
      </c>
      <c r="X281">
        <v>46065.25</v>
      </c>
      <c r="Y281">
        <v>44754</v>
      </c>
      <c r="Z281">
        <v>58</v>
      </c>
      <c r="AA281">
        <v>53.17</v>
      </c>
      <c r="AB281">
        <v>16.71</v>
      </c>
      <c r="AC281">
        <v>0</v>
      </c>
      <c r="AD281">
        <v>10</v>
      </c>
      <c r="AE281">
        <v>43.17</v>
      </c>
      <c r="AF281" t="s">
        <v>428</v>
      </c>
      <c r="AG281" t="s">
        <v>429</v>
      </c>
      <c r="AH281" t="s">
        <v>429</v>
      </c>
      <c r="AI281" t="s">
        <v>428</v>
      </c>
      <c r="AJ281" t="s">
        <v>474</v>
      </c>
      <c r="AK281" t="s">
        <v>474</v>
      </c>
      <c r="AN281" t="s">
        <v>430</v>
      </c>
      <c r="AO281" t="s">
        <v>446</v>
      </c>
      <c r="AQ281">
        <v>665849.94000000006</v>
      </c>
      <c r="AR281">
        <v>665849.94000000006</v>
      </c>
      <c r="AS281">
        <v>16.0578</v>
      </c>
      <c r="AT281">
        <v>20</v>
      </c>
      <c r="AU281">
        <v>1</v>
      </c>
      <c r="AV281">
        <v>16.0578</v>
      </c>
      <c r="AW281">
        <v>20</v>
      </c>
      <c r="AX281">
        <v>1</v>
      </c>
      <c r="AY281">
        <v>0</v>
      </c>
      <c r="AZ281">
        <v>16.0578</v>
      </c>
      <c r="BA281">
        <v>20</v>
      </c>
      <c r="BB281">
        <v>1</v>
      </c>
      <c r="BC281">
        <v>0</v>
      </c>
      <c r="BD281">
        <v>46016</v>
      </c>
      <c r="BE281">
        <v>46023</v>
      </c>
    </row>
    <row r="282" spans="1:57" ht="15.2" customHeight="1" x14ac:dyDescent="0.25">
      <c r="A282" t="s">
        <v>358</v>
      </c>
      <c r="B282" t="s">
        <v>1087</v>
      </c>
      <c r="C282" t="s">
        <v>531</v>
      </c>
      <c r="D282" t="s">
        <v>642</v>
      </c>
      <c r="E282" t="s">
        <v>420</v>
      </c>
      <c r="F282" t="s">
        <v>651</v>
      </c>
      <c r="G282" t="s">
        <v>421</v>
      </c>
      <c r="H282" t="s">
        <v>579</v>
      </c>
      <c r="I282" t="s">
        <v>422</v>
      </c>
      <c r="L282" t="s">
        <v>644</v>
      </c>
      <c r="N282" t="s">
        <v>520</v>
      </c>
      <c r="O282" t="s">
        <v>521</v>
      </c>
      <c r="P282" t="s">
        <v>440</v>
      </c>
      <c r="Q282" t="s">
        <v>51</v>
      </c>
      <c r="R282" t="s">
        <v>1088</v>
      </c>
      <c r="S282" t="s">
        <v>422</v>
      </c>
      <c r="T282" t="s">
        <v>507</v>
      </c>
      <c r="W282">
        <v>46070.208333333336</v>
      </c>
      <c r="X282">
        <v>0</v>
      </c>
      <c r="Z282">
        <v>0</v>
      </c>
      <c r="AA282">
        <v>0</v>
      </c>
      <c r="AB282">
        <v>52.4</v>
      </c>
      <c r="AC282">
        <v>0</v>
      </c>
      <c r="AD282">
        <v>0</v>
      </c>
      <c r="AE282">
        <v>0</v>
      </c>
      <c r="AF282" t="s">
        <v>428</v>
      </c>
      <c r="AG282" t="s">
        <v>429</v>
      </c>
      <c r="AH282" t="s">
        <v>428</v>
      </c>
      <c r="AI282" t="s">
        <v>428</v>
      </c>
      <c r="AK282" t="s">
        <v>485</v>
      </c>
      <c r="AM282" t="s">
        <v>430</v>
      </c>
      <c r="AN282" t="s">
        <v>430</v>
      </c>
      <c r="AO282" t="s">
        <v>446</v>
      </c>
      <c r="AQ282">
        <v>1262082.6100000001</v>
      </c>
      <c r="AR282">
        <v>1262082.6100000001</v>
      </c>
      <c r="AS282">
        <v>59.965000000000003</v>
      </c>
      <c r="AT282">
        <v>176</v>
      </c>
      <c r="AU282">
        <v>59</v>
      </c>
      <c r="AV282">
        <v>59.965000000000003</v>
      </c>
      <c r="AW282">
        <v>176</v>
      </c>
      <c r="AX282">
        <v>59</v>
      </c>
      <c r="AY282">
        <v>0</v>
      </c>
      <c r="AZ282">
        <v>59.965000000000003</v>
      </c>
      <c r="BA282">
        <v>176</v>
      </c>
      <c r="BB282">
        <v>59</v>
      </c>
      <c r="BC282">
        <v>0</v>
      </c>
      <c r="BD282">
        <v>46070</v>
      </c>
      <c r="BE282">
        <v>46078</v>
      </c>
    </row>
    <row r="283" spans="1:57" ht="15.2" customHeight="1" x14ac:dyDescent="0.25">
      <c r="A283" t="s">
        <v>358</v>
      </c>
      <c r="B283" t="s">
        <v>1087</v>
      </c>
      <c r="C283" t="s">
        <v>531</v>
      </c>
      <c r="D283" t="s">
        <v>642</v>
      </c>
      <c r="E283" t="s">
        <v>420</v>
      </c>
      <c r="F283" t="s">
        <v>651</v>
      </c>
      <c r="G283" t="s">
        <v>421</v>
      </c>
      <c r="H283" t="s">
        <v>579</v>
      </c>
      <c r="I283" t="s">
        <v>422</v>
      </c>
      <c r="L283" t="s">
        <v>644</v>
      </c>
      <c r="N283" t="s">
        <v>520</v>
      </c>
      <c r="O283" t="s">
        <v>38</v>
      </c>
      <c r="P283" t="s">
        <v>425</v>
      </c>
      <c r="Q283" t="s">
        <v>182</v>
      </c>
      <c r="R283" t="s">
        <v>1089</v>
      </c>
      <c r="S283" t="s">
        <v>422</v>
      </c>
      <c r="T283" t="s">
        <v>507</v>
      </c>
      <c r="W283">
        <v>46017.875</v>
      </c>
      <c r="X283">
        <v>46066.375</v>
      </c>
      <c r="Z283">
        <v>1164</v>
      </c>
      <c r="AA283">
        <v>1086.4000000000001</v>
      </c>
      <c r="AB283">
        <v>975.91</v>
      </c>
      <c r="AC283">
        <v>263</v>
      </c>
      <c r="AD283">
        <v>277.60000000000002</v>
      </c>
      <c r="AE283">
        <v>808.80000000000007</v>
      </c>
      <c r="AF283" t="s">
        <v>428</v>
      </c>
      <c r="AG283" t="s">
        <v>429</v>
      </c>
      <c r="AH283" t="s">
        <v>429</v>
      </c>
      <c r="AI283" t="s">
        <v>428</v>
      </c>
      <c r="AJ283" t="s">
        <v>474</v>
      </c>
      <c r="AK283" t="s">
        <v>474</v>
      </c>
      <c r="AN283" t="s">
        <v>498</v>
      </c>
      <c r="AO283" t="s">
        <v>446</v>
      </c>
      <c r="AQ283">
        <v>24780078.960000001</v>
      </c>
      <c r="AR283">
        <v>24780078.960000001</v>
      </c>
      <c r="AS283">
        <v>59.965000000000003</v>
      </c>
      <c r="AT283">
        <v>176</v>
      </c>
      <c r="AU283">
        <v>59</v>
      </c>
      <c r="AV283">
        <v>59.965000000000003</v>
      </c>
      <c r="AW283">
        <v>176</v>
      </c>
      <c r="AX283">
        <v>59</v>
      </c>
      <c r="AY283">
        <v>0</v>
      </c>
      <c r="AZ283">
        <v>57.9</v>
      </c>
      <c r="BA283">
        <v>303</v>
      </c>
      <c r="BB283">
        <v>77</v>
      </c>
      <c r="BC283">
        <v>0</v>
      </c>
      <c r="BD283">
        <v>46025</v>
      </c>
      <c r="BE283">
        <v>46042</v>
      </c>
    </row>
    <row r="284" spans="1:57" ht="15.2" customHeight="1" x14ac:dyDescent="0.25">
      <c r="A284" t="s">
        <v>277</v>
      </c>
      <c r="B284" t="s">
        <v>1090</v>
      </c>
      <c r="C284" t="s">
        <v>38</v>
      </c>
      <c r="D284" t="s">
        <v>698</v>
      </c>
      <c r="E284" t="s">
        <v>420</v>
      </c>
      <c r="F284" t="s">
        <v>699</v>
      </c>
      <c r="G284" t="s">
        <v>469</v>
      </c>
      <c r="I284" t="s">
        <v>422</v>
      </c>
      <c r="L284" t="s">
        <v>472</v>
      </c>
      <c r="N284" t="s">
        <v>424</v>
      </c>
      <c r="O284" t="s">
        <v>960</v>
      </c>
      <c r="P284" t="s">
        <v>425</v>
      </c>
      <c r="Q284" t="s">
        <v>96</v>
      </c>
      <c r="R284" t="s">
        <v>1091</v>
      </c>
      <c r="S284" t="s">
        <v>422</v>
      </c>
      <c r="T284" t="s">
        <v>507</v>
      </c>
      <c r="W284">
        <v>46069.291666666664</v>
      </c>
      <c r="X284">
        <v>46069.708333333336</v>
      </c>
      <c r="Y284">
        <v>44378</v>
      </c>
      <c r="Z284">
        <v>10</v>
      </c>
      <c r="AA284">
        <v>9.17</v>
      </c>
      <c r="AB284">
        <v>0</v>
      </c>
      <c r="AC284">
        <v>0</v>
      </c>
      <c r="AD284">
        <v>0</v>
      </c>
      <c r="AE284">
        <v>9.17</v>
      </c>
      <c r="AF284" t="s">
        <v>429</v>
      </c>
      <c r="AG284" t="s">
        <v>429</v>
      </c>
      <c r="AH284" t="s">
        <v>429</v>
      </c>
      <c r="AI284" t="s">
        <v>429</v>
      </c>
      <c r="AN284" t="s">
        <v>431</v>
      </c>
      <c r="AO284" t="s">
        <v>432</v>
      </c>
      <c r="AQ284">
        <v>0</v>
      </c>
      <c r="AR284">
        <v>0</v>
      </c>
      <c r="AS284">
        <v>17.314900000000002</v>
      </c>
      <c r="AT284">
        <v>427</v>
      </c>
      <c r="AU284">
        <v>95</v>
      </c>
      <c r="AV284">
        <v>17.314900000000002</v>
      </c>
      <c r="AW284">
        <v>427</v>
      </c>
      <c r="AX284">
        <v>95</v>
      </c>
      <c r="AY284">
        <v>0</v>
      </c>
      <c r="AZ284">
        <v>17.314900000000002</v>
      </c>
      <c r="BA284">
        <v>427</v>
      </c>
      <c r="BB284">
        <v>95</v>
      </c>
      <c r="BC284">
        <v>0</v>
      </c>
      <c r="BD284">
        <v>46069</v>
      </c>
      <c r="BE284">
        <v>46069</v>
      </c>
    </row>
    <row r="285" spans="1:57" ht="15.2" customHeight="1" x14ac:dyDescent="0.25">
      <c r="A285" t="s">
        <v>277</v>
      </c>
      <c r="B285" t="s">
        <v>1090</v>
      </c>
      <c r="C285" t="s">
        <v>38</v>
      </c>
      <c r="D285" t="s">
        <v>698</v>
      </c>
      <c r="E285" t="s">
        <v>420</v>
      </c>
      <c r="F285" t="s">
        <v>699</v>
      </c>
      <c r="G285" t="s">
        <v>469</v>
      </c>
      <c r="I285" t="s">
        <v>422</v>
      </c>
      <c r="L285" t="s">
        <v>472</v>
      </c>
      <c r="N285" t="s">
        <v>424</v>
      </c>
      <c r="O285" t="s">
        <v>493</v>
      </c>
      <c r="P285" t="s">
        <v>440</v>
      </c>
      <c r="Q285" t="s">
        <v>594</v>
      </c>
      <c r="R285" t="s">
        <v>1092</v>
      </c>
      <c r="S285" t="s">
        <v>422</v>
      </c>
      <c r="T285" t="s">
        <v>507</v>
      </c>
      <c r="W285">
        <v>46067.833333333336</v>
      </c>
      <c r="X285">
        <v>46070.333333333336</v>
      </c>
      <c r="Y285">
        <v>44378</v>
      </c>
      <c r="Z285">
        <v>60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429</v>
      </c>
      <c r="AG285" t="s">
        <v>429</v>
      </c>
      <c r="AH285" t="s">
        <v>429</v>
      </c>
      <c r="AI285" t="s">
        <v>429</v>
      </c>
      <c r="AN285" t="s">
        <v>431</v>
      </c>
      <c r="AO285" t="s">
        <v>432</v>
      </c>
      <c r="AQ285">
        <v>0</v>
      </c>
      <c r="AR285">
        <v>0</v>
      </c>
      <c r="AS285">
        <v>17.314900000000002</v>
      </c>
      <c r="AT285">
        <v>427</v>
      </c>
      <c r="AU285">
        <v>95</v>
      </c>
      <c r="AV285">
        <v>17.314900000000002</v>
      </c>
      <c r="AW285">
        <v>427</v>
      </c>
      <c r="AX285">
        <v>95</v>
      </c>
      <c r="AY285">
        <v>0</v>
      </c>
      <c r="AZ285">
        <v>17.314900000000002</v>
      </c>
      <c r="BA285">
        <v>427</v>
      </c>
      <c r="BB285">
        <v>95</v>
      </c>
      <c r="BC285">
        <v>0</v>
      </c>
      <c r="BD285">
        <v>46067</v>
      </c>
      <c r="BE285">
        <v>46070</v>
      </c>
    </row>
    <row r="286" spans="1:57" ht="15.2" customHeight="1" x14ac:dyDescent="0.25">
      <c r="A286" t="s">
        <v>1093</v>
      </c>
      <c r="B286" t="s">
        <v>1094</v>
      </c>
      <c r="C286" t="s">
        <v>1095</v>
      </c>
      <c r="D286" t="s">
        <v>642</v>
      </c>
      <c r="E286" t="s">
        <v>420</v>
      </c>
      <c r="F286" t="s">
        <v>651</v>
      </c>
      <c r="G286" t="s">
        <v>421</v>
      </c>
      <c r="I286" t="s">
        <v>422</v>
      </c>
      <c r="L286" t="s">
        <v>644</v>
      </c>
      <c r="N286" t="s">
        <v>520</v>
      </c>
      <c r="O286" t="s">
        <v>513</v>
      </c>
      <c r="P286" t="s">
        <v>440</v>
      </c>
      <c r="Q286" t="s">
        <v>1096</v>
      </c>
      <c r="R286" t="s">
        <v>1097</v>
      </c>
      <c r="S286" t="s">
        <v>422</v>
      </c>
      <c r="T286" t="s">
        <v>427</v>
      </c>
      <c r="W286">
        <v>46063.875</v>
      </c>
      <c r="X286">
        <v>46065.958333333336</v>
      </c>
      <c r="Y286">
        <v>45541</v>
      </c>
      <c r="Z286">
        <v>50</v>
      </c>
      <c r="AA286">
        <v>46.67</v>
      </c>
      <c r="AB286">
        <v>66.53</v>
      </c>
      <c r="AC286">
        <v>0</v>
      </c>
      <c r="AD286">
        <v>0</v>
      </c>
      <c r="AE286">
        <v>46.67</v>
      </c>
      <c r="AF286" t="s">
        <v>428</v>
      </c>
      <c r="AG286" t="s">
        <v>429</v>
      </c>
      <c r="AH286" t="s">
        <v>429</v>
      </c>
      <c r="AI286" t="s">
        <v>428</v>
      </c>
      <c r="AK286" t="s">
        <v>485</v>
      </c>
      <c r="AN286" t="s">
        <v>430</v>
      </c>
      <c r="AO286" t="s">
        <v>446</v>
      </c>
      <c r="AQ286">
        <v>1597958.48</v>
      </c>
      <c r="AR286">
        <v>1597958.48</v>
      </c>
      <c r="AS286">
        <v>0</v>
      </c>
      <c r="AT286">
        <v>964</v>
      </c>
      <c r="AU286">
        <v>0</v>
      </c>
      <c r="AV286">
        <v>0</v>
      </c>
      <c r="AW286">
        <v>964</v>
      </c>
      <c r="AX286">
        <v>0</v>
      </c>
      <c r="AY286">
        <v>0</v>
      </c>
      <c r="AZ286">
        <v>0</v>
      </c>
      <c r="BA286">
        <v>964</v>
      </c>
      <c r="BB286">
        <v>0</v>
      </c>
      <c r="BC286">
        <v>0</v>
      </c>
      <c r="BD286">
        <v>46062</v>
      </c>
      <c r="BE286">
        <v>46064</v>
      </c>
    </row>
    <row r="287" spans="1:57" ht="15.2" customHeight="1" x14ac:dyDescent="0.25">
      <c r="A287" t="s">
        <v>1098</v>
      </c>
      <c r="B287" t="s">
        <v>1099</v>
      </c>
      <c r="C287" t="s">
        <v>1100</v>
      </c>
      <c r="D287" t="s">
        <v>518</v>
      </c>
      <c r="E287" t="s">
        <v>420</v>
      </c>
      <c r="F287" t="s">
        <v>519</v>
      </c>
      <c r="G287" t="s">
        <v>421</v>
      </c>
      <c r="H287" t="s">
        <v>579</v>
      </c>
      <c r="I287" t="s">
        <v>422</v>
      </c>
      <c r="L287" t="s">
        <v>492</v>
      </c>
      <c r="N287" t="s">
        <v>424</v>
      </c>
      <c r="P287" t="s">
        <v>425</v>
      </c>
      <c r="Q287" t="s">
        <v>109</v>
      </c>
      <c r="R287" t="s">
        <v>1101</v>
      </c>
      <c r="S287" t="s">
        <v>422</v>
      </c>
      <c r="T287" t="s">
        <v>507</v>
      </c>
      <c r="W287">
        <v>0</v>
      </c>
      <c r="X287">
        <v>0</v>
      </c>
      <c r="Y287">
        <v>45194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428</v>
      </c>
      <c r="AG287" t="s">
        <v>429</v>
      </c>
      <c r="AH287" t="s">
        <v>429</v>
      </c>
      <c r="AI287" t="s">
        <v>429</v>
      </c>
      <c r="AJ287" t="s">
        <v>430</v>
      </c>
      <c r="AK287" t="s">
        <v>430</v>
      </c>
      <c r="AN287" t="s">
        <v>431</v>
      </c>
      <c r="AO287" t="s">
        <v>432</v>
      </c>
      <c r="AQ287">
        <v>0</v>
      </c>
      <c r="AR287">
        <v>0</v>
      </c>
      <c r="AS287">
        <v>180.01900000000001</v>
      </c>
      <c r="AT287">
        <v>416</v>
      </c>
      <c r="AU287">
        <v>47.800000000000004</v>
      </c>
      <c r="AV287">
        <v>77.075400000000002</v>
      </c>
      <c r="AW287">
        <v>203</v>
      </c>
      <c r="AX287">
        <v>54.2</v>
      </c>
      <c r="AY287">
        <v>0</v>
      </c>
      <c r="AZ287">
        <v>180.01900000000001</v>
      </c>
      <c r="BA287">
        <v>416</v>
      </c>
      <c r="BB287">
        <v>47.800000000000004</v>
      </c>
      <c r="BC287">
        <v>0</v>
      </c>
      <c r="BD287">
        <v>46047</v>
      </c>
      <c r="BE287">
        <v>46058</v>
      </c>
    </row>
    <row r="288" spans="1:57" ht="15.2" customHeight="1" x14ac:dyDescent="0.25">
      <c r="A288" t="s">
        <v>173</v>
      </c>
      <c r="B288" t="s">
        <v>1102</v>
      </c>
      <c r="C288" t="s">
        <v>790</v>
      </c>
      <c r="D288" t="s">
        <v>489</v>
      </c>
      <c r="E288" t="s">
        <v>420</v>
      </c>
      <c r="F288" t="s">
        <v>622</v>
      </c>
      <c r="G288" t="s">
        <v>469</v>
      </c>
      <c r="H288" t="s">
        <v>579</v>
      </c>
      <c r="I288" t="s">
        <v>471</v>
      </c>
      <c r="L288" t="s">
        <v>492</v>
      </c>
      <c r="N288" t="s">
        <v>424</v>
      </c>
      <c r="P288" t="s">
        <v>425</v>
      </c>
      <c r="Q288" t="s">
        <v>154</v>
      </c>
      <c r="R288" t="s">
        <v>1103</v>
      </c>
      <c r="T288" t="s">
        <v>507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428</v>
      </c>
      <c r="AG288" t="s">
        <v>429</v>
      </c>
      <c r="AH288" t="s">
        <v>429</v>
      </c>
      <c r="AI288" t="s">
        <v>429</v>
      </c>
      <c r="AJ288" t="s">
        <v>430</v>
      </c>
      <c r="AK288" t="s">
        <v>430</v>
      </c>
      <c r="AN288" t="s">
        <v>431</v>
      </c>
      <c r="AO288" t="s">
        <v>432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46080</v>
      </c>
      <c r="BE288">
        <v>46086</v>
      </c>
    </row>
    <row r="289" spans="1:57" ht="15.2" customHeight="1" x14ac:dyDescent="0.25">
      <c r="A289" t="s">
        <v>223</v>
      </c>
      <c r="B289" t="s">
        <v>1104</v>
      </c>
      <c r="C289" t="s">
        <v>790</v>
      </c>
      <c r="D289" t="s">
        <v>489</v>
      </c>
      <c r="E289" t="s">
        <v>420</v>
      </c>
      <c r="F289" t="s">
        <v>622</v>
      </c>
      <c r="G289" t="s">
        <v>469</v>
      </c>
      <c r="H289" t="s">
        <v>579</v>
      </c>
      <c r="I289" t="s">
        <v>541</v>
      </c>
      <c r="L289" t="s">
        <v>492</v>
      </c>
      <c r="N289" t="s">
        <v>424</v>
      </c>
      <c r="O289" t="s">
        <v>764</v>
      </c>
      <c r="P289" t="s">
        <v>425</v>
      </c>
      <c r="Q289" t="s">
        <v>765</v>
      </c>
      <c r="R289" t="s">
        <v>1105</v>
      </c>
      <c r="T289" t="s">
        <v>507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429</v>
      </c>
      <c r="AG289" t="s">
        <v>429</v>
      </c>
      <c r="AH289" t="s">
        <v>429</v>
      </c>
      <c r="AI289" t="s">
        <v>429</v>
      </c>
      <c r="AN289" t="s">
        <v>431</v>
      </c>
      <c r="AO289" t="s">
        <v>432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45844</v>
      </c>
      <c r="BE289">
        <v>55710</v>
      </c>
    </row>
    <row r="290" spans="1:57" ht="15.2" customHeight="1" x14ac:dyDescent="0.25">
      <c r="A290" t="s">
        <v>1106</v>
      </c>
      <c r="B290" t="s">
        <v>1107</v>
      </c>
      <c r="C290" t="s">
        <v>527</v>
      </c>
      <c r="D290" t="s">
        <v>698</v>
      </c>
      <c r="E290" t="s">
        <v>420</v>
      </c>
      <c r="F290" t="s">
        <v>699</v>
      </c>
      <c r="G290" t="s">
        <v>469</v>
      </c>
      <c r="H290" t="s">
        <v>544</v>
      </c>
      <c r="I290" t="s">
        <v>422</v>
      </c>
      <c r="L290" t="s">
        <v>472</v>
      </c>
      <c r="N290" t="s">
        <v>424</v>
      </c>
      <c r="P290" t="s">
        <v>440</v>
      </c>
      <c r="Q290" t="s">
        <v>51</v>
      </c>
      <c r="R290" t="s">
        <v>627</v>
      </c>
      <c r="T290" t="s">
        <v>507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428</v>
      </c>
      <c r="AG290" t="s">
        <v>429</v>
      </c>
      <c r="AH290" t="s">
        <v>428</v>
      </c>
      <c r="AI290" t="s">
        <v>429</v>
      </c>
      <c r="AK290" t="s">
        <v>430</v>
      </c>
      <c r="AM290" t="s">
        <v>485</v>
      </c>
      <c r="AN290" t="s">
        <v>431</v>
      </c>
      <c r="AO290" t="s">
        <v>432</v>
      </c>
      <c r="AQ290">
        <v>0</v>
      </c>
      <c r="AR290">
        <v>0</v>
      </c>
      <c r="AS290">
        <v>25.433</v>
      </c>
      <c r="AT290">
        <v>32</v>
      </c>
      <c r="AU290">
        <v>2</v>
      </c>
      <c r="AV290">
        <v>25.433</v>
      </c>
      <c r="AW290">
        <v>32</v>
      </c>
      <c r="AX290">
        <v>2</v>
      </c>
      <c r="AY290">
        <v>0</v>
      </c>
      <c r="AZ290">
        <v>25.433</v>
      </c>
      <c r="BA290">
        <v>32</v>
      </c>
      <c r="BB290">
        <v>2</v>
      </c>
      <c r="BC290">
        <v>0</v>
      </c>
      <c r="BD290">
        <v>46047</v>
      </c>
      <c r="BE290">
        <v>46056</v>
      </c>
    </row>
    <row r="291" spans="1:57" ht="15.2" customHeight="1" x14ac:dyDescent="0.25">
      <c r="A291" t="s">
        <v>1108</v>
      </c>
      <c r="B291" t="s">
        <v>1109</v>
      </c>
      <c r="C291" t="s">
        <v>755</v>
      </c>
      <c r="D291" t="s">
        <v>642</v>
      </c>
      <c r="E291" t="s">
        <v>420</v>
      </c>
      <c r="F291" t="s">
        <v>651</v>
      </c>
      <c r="G291" t="s">
        <v>421</v>
      </c>
      <c r="I291" t="s">
        <v>422</v>
      </c>
      <c r="L291" t="s">
        <v>644</v>
      </c>
      <c r="N291" t="s">
        <v>520</v>
      </c>
      <c r="O291" t="s">
        <v>38</v>
      </c>
      <c r="P291" t="s">
        <v>440</v>
      </c>
      <c r="Q291" t="s">
        <v>58</v>
      </c>
      <c r="R291" t="s">
        <v>1110</v>
      </c>
      <c r="S291" t="s">
        <v>422</v>
      </c>
      <c r="T291" t="s">
        <v>427</v>
      </c>
      <c r="W291">
        <v>46066.375</v>
      </c>
      <c r="X291">
        <v>46068.625</v>
      </c>
      <c r="Y291">
        <v>0</v>
      </c>
      <c r="Z291">
        <v>54</v>
      </c>
      <c r="AA291">
        <v>50.4</v>
      </c>
      <c r="AB291">
        <v>58.5</v>
      </c>
      <c r="AC291">
        <v>0</v>
      </c>
      <c r="AD291">
        <v>0</v>
      </c>
      <c r="AE291">
        <v>50.4</v>
      </c>
      <c r="AF291" t="s">
        <v>428</v>
      </c>
      <c r="AG291" t="s">
        <v>429</v>
      </c>
      <c r="AH291" t="s">
        <v>429</v>
      </c>
      <c r="AI291" t="s">
        <v>428</v>
      </c>
      <c r="AK291" t="s">
        <v>474</v>
      </c>
      <c r="AN291" t="s">
        <v>430</v>
      </c>
      <c r="AO291" t="s">
        <v>446</v>
      </c>
      <c r="AQ291">
        <v>1401014.58</v>
      </c>
      <c r="AR291">
        <v>1401014.58</v>
      </c>
      <c r="AS291">
        <v>0</v>
      </c>
      <c r="AT291">
        <v>142</v>
      </c>
      <c r="AU291">
        <v>0</v>
      </c>
      <c r="AV291">
        <v>0</v>
      </c>
      <c r="AW291">
        <v>142</v>
      </c>
      <c r="AX291">
        <v>0</v>
      </c>
      <c r="AY291">
        <v>0</v>
      </c>
      <c r="AZ291">
        <v>0</v>
      </c>
      <c r="BA291">
        <v>142</v>
      </c>
      <c r="BB291">
        <v>0</v>
      </c>
      <c r="BC291">
        <v>0</v>
      </c>
      <c r="BD291">
        <v>46068</v>
      </c>
      <c r="BE291">
        <v>46078</v>
      </c>
    </row>
    <row r="292" spans="1:57" ht="15.2" customHeight="1" x14ac:dyDescent="0.25">
      <c r="A292" t="s">
        <v>1111</v>
      </c>
      <c r="B292" t="s">
        <v>1112</v>
      </c>
      <c r="C292" t="s">
        <v>1113</v>
      </c>
      <c r="D292" t="s">
        <v>642</v>
      </c>
      <c r="E292" t="s">
        <v>420</v>
      </c>
      <c r="F292" t="s">
        <v>651</v>
      </c>
      <c r="G292" t="s">
        <v>421</v>
      </c>
      <c r="I292" t="s">
        <v>422</v>
      </c>
      <c r="L292" t="s">
        <v>644</v>
      </c>
      <c r="N292" t="s">
        <v>424</v>
      </c>
      <c r="O292" t="s">
        <v>568</v>
      </c>
      <c r="P292" t="s">
        <v>440</v>
      </c>
      <c r="Q292" t="s">
        <v>449</v>
      </c>
      <c r="R292" t="s">
        <v>1114</v>
      </c>
      <c r="S292" t="s">
        <v>422</v>
      </c>
      <c r="T292" t="s">
        <v>507</v>
      </c>
      <c r="W292">
        <v>46058.333333333336</v>
      </c>
      <c r="X292">
        <v>0</v>
      </c>
      <c r="Z292">
        <v>13.17</v>
      </c>
      <c r="AA292">
        <v>11.92</v>
      </c>
      <c r="AB292">
        <v>0</v>
      </c>
      <c r="AC292">
        <v>0</v>
      </c>
      <c r="AD292">
        <v>0</v>
      </c>
      <c r="AE292">
        <v>11.92</v>
      </c>
      <c r="AF292" t="s">
        <v>429</v>
      </c>
      <c r="AG292" t="s">
        <v>429</v>
      </c>
      <c r="AH292" t="s">
        <v>429</v>
      </c>
      <c r="AI292" t="s">
        <v>429</v>
      </c>
      <c r="AN292" t="s">
        <v>431</v>
      </c>
      <c r="AO292" t="s">
        <v>432</v>
      </c>
      <c r="AQ292">
        <v>0</v>
      </c>
      <c r="AR292">
        <v>0</v>
      </c>
      <c r="AS292">
        <v>7.7782</v>
      </c>
      <c r="AT292">
        <v>36</v>
      </c>
      <c r="AU292">
        <v>74</v>
      </c>
      <c r="AV292">
        <v>10.304400000000001</v>
      </c>
      <c r="AW292">
        <v>31</v>
      </c>
      <c r="AX292">
        <v>60</v>
      </c>
      <c r="AY292">
        <v>0</v>
      </c>
      <c r="AZ292">
        <v>7.7782</v>
      </c>
      <c r="BA292">
        <v>36</v>
      </c>
      <c r="BB292">
        <v>74</v>
      </c>
      <c r="BC292">
        <v>0</v>
      </c>
      <c r="BD292">
        <v>46058</v>
      </c>
      <c r="BE292">
        <v>46060</v>
      </c>
    </row>
    <row r="293" spans="1:57" ht="15.2" customHeight="1" x14ac:dyDescent="0.25">
      <c r="A293" t="s">
        <v>1115</v>
      </c>
      <c r="B293" t="s">
        <v>1116</v>
      </c>
      <c r="C293" t="s">
        <v>548</v>
      </c>
      <c r="D293" t="s">
        <v>419</v>
      </c>
      <c r="E293" t="s">
        <v>420</v>
      </c>
      <c r="F293" t="s">
        <v>589</v>
      </c>
      <c r="G293" t="s">
        <v>421</v>
      </c>
      <c r="H293" t="s">
        <v>995</v>
      </c>
      <c r="I293" t="s">
        <v>422</v>
      </c>
      <c r="L293" t="s">
        <v>492</v>
      </c>
      <c r="N293" t="s">
        <v>424</v>
      </c>
      <c r="O293" t="s">
        <v>692</v>
      </c>
      <c r="P293" t="s">
        <v>425</v>
      </c>
      <c r="Q293" t="s">
        <v>317</v>
      </c>
      <c r="R293" t="s">
        <v>1117</v>
      </c>
      <c r="S293" t="s">
        <v>422</v>
      </c>
      <c r="T293" t="s">
        <v>427</v>
      </c>
      <c r="W293">
        <v>46032.375</v>
      </c>
      <c r="X293">
        <v>46063.625</v>
      </c>
      <c r="Y293">
        <v>45821</v>
      </c>
      <c r="Z293">
        <v>396.5</v>
      </c>
      <c r="AA293">
        <v>363.46</v>
      </c>
      <c r="AB293">
        <v>334.16</v>
      </c>
      <c r="AC293">
        <v>189.67000000000002</v>
      </c>
      <c r="AD293">
        <v>203.67000000000002</v>
      </c>
      <c r="AE293">
        <v>159.79</v>
      </c>
      <c r="AF293" t="s">
        <v>428</v>
      </c>
      <c r="AG293" t="s">
        <v>429</v>
      </c>
      <c r="AH293" t="s">
        <v>429</v>
      </c>
      <c r="AI293" t="s">
        <v>428</v>
      </c>
      <c r="AJ293" t="s">
        <v>474</v>
      </c>
      <c r="AK293" t="s">
        <v>474</v>
      </c>
      <c r="AN293" t="s">
        <v>498</v>
      </c>
      <c r="AO293" t="s">
        <v>446</v>
      </c>
      <c r="AQ293">
        <v>345350.78</v>
      </c>
      <c r="AR293">
        <v>345350.78</v>
      </c>
      <c r="AS293">
        <v>0</v>
      </c>
      <c r="AT293">
        <v>528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150</v>
      </c>
      <c r="BB293">
        <v>100</v>
      </c>
      <c r="BC293">
        <v>0</v>
      </c>
      <c r="BD293">
        <v>46032</v>
      </c>
      <c r="BE293">
        <v>46041</v>
      </c>
    </row>
    <row r="294" spans="1:57" ht="15.2" customHeight="1" x14ac:dyDescent="0.25">
      <c r="B294" t="s">
        <v>1118</v>
      </c>
      <c r="C294" t="s">
        <v>1119</v>
      </c>
      <c r="D294" t="s">
        <v>419</v>
      </c>
      <c r="E294" t="s">
        <v>420</v>
      </c>
      <c r="G294" t="s">
        <v>421</v>
      </c>
      <c r="N294" t="s">
        <v>424</v>
      </c>
      <c r="O294" t="s">
        <v>764</v>
      </c>
      <c r="P294" t="s">
        <v>425</v>
      </c>
      <c r="Q294" t="s">
        <v>96</v>
      </c>
      <c r="R294" t="s">
        <v>1120</v>
      </c>
      <c r="W294">
        <v>46066.75</v>
      </c>
      <c r="X294">
        <v>46070.708333333336</v>
      </c>
      <c r="Y294">
        <v>0</v>
      </c>
      <c r="Z294">
        <v>95</v>
      </c>
      <c r="AA294">
        <v>87.08</v>
      </c>
      <c r="AB294">
        <v>0</v>
      </c>
      <c r="AC294">
        <v>0</v>
      </c>
      <c r="AD294">
        <v>0</v>
      </c>
      <c r="AE294">
        <v>87.08</v>
      </c>
      <c r="AF294" t="s">
        <v>429</v>
      </c>
      <c r="AG294" t="s">
        <v>429</v>
      </c>
      <c r="AH294" t="s">
        <v>429</v>
      </c>
      <c r="AI294" t="s">
        <v>429</v>
      </c>
      <c r="AN294" t="s">
        <v>431</v>
      </c>
      <c r="AO294" t="s">
        <v>432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46066</v>
      </c>
      <c r="BE294">
        <v>46070</v>
      </c>
    </row>
    <row r="295" spans="1:57" ht="15.2" customHeight="1" x14ac:dyDescent="0.25">
      <c r="B295" t="s">
        <v>1121</v>
      </c>
      <c r="C295" t="s">
        <v>1119</v>
      </c>
      <c r="D295" t="s">
        <v>489</v>
      </c>
      <c r="E295" t="s">
        <v>420</v>
      </c>
      <c r="G295" t="s">
        <v>469</v>
      </c>
      <c r="N295" t="s">
        <v>424</v>
      </c>
      <c r="O295" t="s">
        <v>1083</v>
      </c>
      <c r="P295" t="s">
        <v>425</v>
      </c>
      <c r="Q295" t="s">
        <v>96</v>
      </c>
      <c r="R295" t="s">
        <v>1122</v>
      </c>
      <c r="W295">
        <v>46051.645833333336</v>
      </c>
      <c r="X295">
        <v>46059.375</v>
      </c>
      <c r="Z295">
        <v>185.5</v>
      </c>
      <c r="AA295">
        <v>170.04</v>
      </c>
      <c r="AB295">
        <v>0</v>
      </c>
      <c r="AC295">
        <v>0</v>
      </c>
      <c r="AD295">
        <v>0</v>
      </c>
      <c r="AE295">
        <v>170.04</v>
      </c>
      <c r="AF295" t="s">
        <v>429</v>
      </c>
      <c r="AG295" t="s">
        <v>429</v>
      </c>
      <c r="AH295" t="s">
        <v>429</v>
      </c>
      <c r="AI295" t="s">
        <v>429</v>
      </c>
      <c r="AN295" t="s">
        <v>431</v>
      </c>
      <c r="AO295" t="s">
        <v>432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46051</v>
      </c>
      <c r="BE295">
        <v>46053</v>
      </c>
    </row>
    <row r="296" spans="1:57" ht="15.2" customHeight="1" x14ac:dyDescent="0.25">
      <c r="B296" t="s">
        <v>1121</v>
      </c>
      <c r="C296" t="s">
        <v>1119</v>
      </c>
      <c r="D296" t="s">
        <v>489</v>
      </c>
      <c r="E296" t="s">
        <v>420</v>
      </c>
      <c r="G296" t="s">
        <v>469</v>
      </c>
      <c r="N296" t="s">
        <v>424</v>
      </c>
      <c r="O296" t="s">
        <v>764</v>
      </c>
      <c r="P296" t="s">
        <v>425</v>
      </c>
      <c r="Q296" t="s">
        <v>765</v>
      </c>
      <c r="R296" t="s">
        <v>1123</v>
      </c>
      <c r="W296">
        <v>46070.708333333336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 t="s">
        <v>429</v>
      </c>
      <c r="AG296" t="s">
        <v>429</v>
      </c>
      <c r="AH296" t="s">
        <v>429</v>
      </c>
      <c r="AI296" t="s">
        <v>429</v>
      </c>
      <c r="AN296" t="s">
        <v>431</v>
      </c>
      <c r="AO296" t="s">
        <v>432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46070</v>
      </c>
      <c r="BE296">
        <v>46072</v>
      </c>
    </row>
    <row r="297" spans="1:57" ht="15.2" customHeight="1" x14ac:dyDescent="0.25">
      <c r="B297" t="s">
        <v>1121</v>
      </c>
      <c r="C297" t="s">
        <v>1119</v>
      </c>
      <c r="D297" t="s">
        <v>489</v>
      </c>
      <c r="E297" t="s">
        <v>420</v>
      </c>
      <c r="G297" t="s">
        <v>469</v>
      </c>
      <c r="N297" t="s">
        <v>424</v>
      </c>
      <c r="O297" t="s">
        <v>960</v>
      </c>
      <c r="P297" t="s">
        <v>425</v>
      </c>
      <c r="Q297" t="s">
        <v>96</v>
      </c>
      <c r="R297" t="s">
        <v>1124</v>
      </c>
      <c r="W297">
        <v>46061.541666666664</v>
      </c>
      <c r="X297">
        <v>46065.541666666664</v>
      </c>
      <c r="Y297">
        <v>0</v>
      </c>
      <c r="Z297">
        <v>96</v>
      </c>
      <c r="AA297">
        <v>88</v>
      </c>
      <c r="AB297">
        <v>0</v>
      </c>
      <c r="AC297">
        <v>0</v>
      </c>
      <c r="AD297">
        <v>58</v>
      </c>
      <c r="AE297">
        <v>30</v>
      </c>
      <c r="AF297" t="s">
        <v>429</v>
      </c>
      <c r="AG297" t="s">
        <v>429</v>
      </c>
      <c r="AH297" t="s">
        <v>429</v>
      </c>
      <c r="AI297" t="s">
        <v>429</v>
      </c>
      <c r="AN297" t="s">
        <v>431</v>
      </c>
      <c r="AO297" t="s">
        <v>432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46061</v>
      </c>
      <c r="BE297">
        <v>46064</v>
      </c>
    </row>
    <row r="298" spans="1:57" ht="15.2" customHeight="1" x14ac:dyDescent="0.25">
      <c r="B298" t="s">
        <v>1125</v>
      </c>
      <c r="C298" t="s">
        <v>1119</v>
      </c>
      <c r="D298" t="s">
        <v>518</v>
      </c>
      <c r="E298" t="s">
        <v>420</v>
      </c>
      <c r="G298" t="s">
        <v>421</v>
      </c>
      <c r="N298" t="s">
        <v>424</v>
      </c>
      <c r="P298" t="s">
        <v>440</v>
      </c>
      <c r="Q298" t="s">
        <v>449</v>
      </c>
      <c r="R298" t="s">
        <v>563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429</v>
      </c>
      <c r="AG298" t="s">
        <v>429</v>
      </c>
      <c r="AH298" t="s">
        <v>429</v>
      </c>
      <c r="AI298" t="s">
        <v>429</v>
      </c>
      <c r="AN298" t="s">
        <v>431</v>
      </c>
      <c r="AO298" t="s">
        <v>432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46053</v>
      </c>
      <c r="BE298">
        <v>46058</v>
      </c>
    </row>
    <row r="299" spans="1:57" ht="15.2" customHeight="1" x14ac:dyDescent="0.25">
      <c r="B299" t="s">
        <v>1125</v>
      </c>
      <c r="C299" t="s">
        <v>1119</v>
      </c>
      <c r="D299" t="s">
        <v>518</v>
      </c>
      <c r="E299" t="s">
        <v>420</v>
      </c>
      <c r="G299" t="s">
        <v>421</v>
      </c>
      <c r="N299" t="s">
        <v>424</v>
      </c>
      <c r="O299" t="s">
        <v>764</v>
      </c>
      <c r="P299" t="s">
        <v>425</v>
      </c>
      <c r="Q299" t="s">
        <v>96</v>
      </c>
      <c r="R299" t="s">
        <v>1126</v>
      </c>
      <c r="W299">
        <v>46052.833333333336</v>
      </c>
      <c r="X299">
        <v>46053.625</v>
      </c>
      <c r="Y299">
        <v>0</v>
      </c>
      <c r="Z299">
        <v>19</v>
      </c>
      <c r="AA299">
        <v>17.420000000000002</v>
      </c>
      <c r="AB299">
        <v>0</v>
      </c>
      <c r="AC299">
        <v>0</v>
      </c>
      <c r="AD299">
        <v>17</v>
      </c>
      <c r="AE299">
        <v>0.42000000000000198</v>
      </c>
      <c r="AF299" t="s">
        <v>429</v>
      </c>
      <c r="AG299" t="s">
        <v>429</v>
      </c>
      <c r="AH299" t="s">
        <v>429</v>
      </c>
      <c r="AI299" t="s">
        <v>429</v>
      </c>
      <c r="AN299" t="s">
        <v>431</v>
      </c>
      <c r="AO299" t="s">
        <v>432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46052</v>
      </c>
      <c r="BE299">
        <v>46056</v>
      </c>
    </row>
    <row r="300" spans="1:57" ht="15.2" customHeight="1" x14ac:dyDescent="0.25">
      <c r="B300" t="s">
        <v>1127</v>
      </c>
      <c r="C300" t="s">
        <v>1119</v>
      </c>
      <c r="D300" t="s">
        <v>518</v>
      </c>
      <c r="E300" t="s">
        <v>420</v>
      </c>
      <c r="G300" t="s">
        <v>421</v>
      </c>
      <c r="N300" t="s">
        <v>424</v>
      </c>
      <c r="O300" t="s">
        <v>960</v>
      </c>
      <c r="P300" t="s">
        <v>425</v>
      </c>
      <c r="Q300" t="s">
        <v>96</v>
      </c>
      <c r="R300" t="s">
        <v>1128</v>
      </c>
      <c r="W300">
        <v>46059.604166666664</v>
      </c>
      <c r="X300">
        <v>46061.541666666664</v>
      </c>
      <c r="Y300">
        <v>0</v>
      </c>
      <c r="Z300">
        <v>46.5</v>
      </c>
      <c r="AA300">
        <v>42.63</v>
      </c>
      <c r="AB300">
        <v>0</v>
      </c>
      <c r="AC300">
        <v>0</v>
      </c>
      <c r="AD300">
        <v>0</v>
      </c>
      <c r="AE300">
        <v>42.63</v>
      </c>
      <c r="AF300" t="s">
        <v>429</v>
      </c>
      <c r="AG300" t="s">
        <v>429</v>
      </c>
      <c r="AH300" t="s">
        <v>429</v>
      </c>
      <c r="AI300" t="s">
        <v>429</v>
      </c>
      <c r="AN300" t="s">
        <v>431</v>
      </c>
      <c r="AO300" t="s">
        <v>432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46059</v>
      </c>
      <c r="BE300">
        <v>46060</v>
      </c>
    </row>
    <row r="301" spans="1:57" ht="15.2" customHeight="1" x14ac:dyDescent="0.25">
      <c r="B301" t="s">
        <v>1127</v>
      </c>
      <c r="C301" t="s">
        <v>1119</v>
      </c>
      <c r="D301" t="s">
        <v>518</v>
      </c>
      <c r="E301" t="s">
        <v>420</v>
      </c>
      <c r="G301" t="s">
        <v>421</v>
      </c>
      <c r="N301" t="s">
        <v>424</v>
      </c>
      <c r="O301" t="s">
        <v>764</v>
      </c>
      <c r="P301" t="s">
        <v>425</v>
      </c>
      <c r="Q301" t="s">
        <v>96</v>
      </c>
      <c r="R301" t="s">
        <v>1129</v>
      </c>
      <c r="W301">
        <v>46060.416666666664</v>
      </c>
      <c r="X301">
        <v>46062.875</v>
      </c>
      <c r="Y301">
        <v>0</v>
      </c>
      <c r="Z301">
        <v>59</v>
      </c>
      <c r="AA301">
        <v>54.08</v>
      </c>
      <c r="AB301">
        <v>0</v>
      </c>
      <c r="AC301">
        <v>0</v>
      </c>
      <c r="AD301">
        <v>22.37</v>
      </c>
      <c r="AE301">
        <v>31.71</v>
      </c>
      <c r="AF301" t="s">
        <v>429</v>
      </c>
      <c r="AG301" t="s">
        <v>429</v>
      </c>
      <c r="AH301" t="s">
        <v>429</v>
      </c>
      <c r="AI301" t="s">
        <v>429</v>
      </c>
      <c r="AN301" t="s">
        <v>431</v>
      </c>
      <c r="AO301" t="s">
        <v>432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46060</v>
      </c>
      <c r="BE301">
        <v>46063</v>
      </c>
    </row>
    <row r="302" spans="1:57" ht="15.2" customHeight="1" x14ac:dyDescent="0.25">
      <c r="B302" t="s">
        <v>1130</v>
      </c>
      <c r="C302" t="s">
        <v>1131</v>
      </c>
      <c r="D302" t="s">
        <v>419</v>
      </c>
      <c r="E302" t="s">
        <v>420</v>
      </c>
      <c r="G302" t="s">
        <v>421</v>
      </c>
      <c r="I302" t="s">
        <v>422</v>
      </c>
      <c r="L302" t="s">
        <v>423</v>
      </c>
      <c r="N302" t="s">
        <v>424</v>
      </c>
      <c r="P302" t="s">
        <v>425</v>
      </c>
      <c r="Q302" t="s">
        <v>96</v>
      </c>
      <c r="R302" t="s">
        <v>1132</v>
      </c>
      <c r="T302" t="s">
        <v>427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428</v>
      </c>
      <c r="AG302" t="s">
        <v>429</v>
      </c>
      <c r="AH302" t="s">
        <v>429</v>
      </c>
      <c r="AI302" t="s">
        <v>429</v>
      </c>
      <c r="AJ302" t="s">
        <v>474</v>
      </c>
      <c r="AK302" t="s">
        <v>474</v>
      </c>
      <c r="AN302" t="s">
        <v>431</v>
      </c>
      <c r="AO302" t="s">
        <v>432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46057</v>
      </c>
      <c r="BE302">
        <v>46068</v>
      </c>
    </row>
    <row r="303" spans="1:57" ht="15.2" customHeight="1" x14ac:dyDescent="0.25">
      <c r="B303" t="s">
        <v>1130</v>
      </c>
      <c r="C303" t="s">
        <v>1131</v>
      </c>
      <c r="D303" t="s">
        <v>419</v>
      </c>
      <c r="E303" t="s">
        <v>420</v>
      </c>
      <c r="G303" t="s">
        <v>421</v>
      </c>
      <c r="I303" t="s">
        <v>422</v>
      </c>
      <c r="L303" t="s">
        <v>423</v>
      </c>
      <c r="N303" t="s">
        <v>424</v>
      </c>
      <c r="O303" t="s">
        <v>692</v>
      </c>
      <c r="P303" t="s">
        <v>440</v>
      </c>
      <c r="Q303" t="s">
        <v>53</v>
      </c>
      <c r="R303" t="s">
        <v>1133</v>
      </c>
      <c r="S303" t="s">
        <v>422</v>
      </c>
      <c r="T303" t="s">
        <v>427</v>
      </c>
      <c r="W303">
        <v>46058.916666666664</v>
      </c>
      <c r="X303">
        <v>46061.833333333336</v>
      </c>
      <c r="Y303">
        <v>44943</v>
      </c>
      <c r="Z303">
        <v>70</v>
      </c>
      <c r="AA303">
        <v>64.17</v>
      </c>
      <c r="AB303">
        <v>53.02</v>
      </c>
      <c r="AC303">
        <v>0</v>
      </c>
      <c r="AD303">
        <v>0</v>
      </c>
      <c r="AE303">
        <v>64.17</v>
      </c>
      <c r="AF303" t="s">
        <v>428</v>
      </c>
      <c r="AG303" t="s">
        <v>429</v>
      </c>
      <c r="AH303" t="s">
        <v>429</v>
      </c>
      <c r="AI303" t="s">
        <v>428</v>
      </c>
      <c r="AK303" t="s">
        <v>474</v>
      </c>
      <c r="AN303" t="s">
        <v>445</v>
      </c>
      <c r="AO303" t="s">
        <v>446</v>
      </c>
      <c r="AQ303">
        <v>139697.34</v>
      </c>
      <c r="AR303">
        <v>139697.34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45969</v>
      </c>
      <c r="BE303">
        <v>45976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BD94BB-7158-47F0-990A-7844A4E495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График ТКРС</vt:lpstr>
      <vt:lpstr>Недельный график ТКРС</vt:lpstr>
      <vt:lpstr>Лист2</vt:lpstr>
      <vt:lpstr>лист1</vt:lpstr>
      <vt:lpstr>Каталог мероприятий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Галлямов Эдуард Ринатович</dc:creator>
  <cp:lastModifiedBy>Галлямов Эдуард Ринатович</cp:lastModifiedBy>
  <cp:lastPrinted>2025-02-25T06:24:39Z</cp:lastPrinted>
  <dcterms:created xsi:type="dcterms:W3CDTF">2015-06-05T18:19:34Z</dcterms:created>
  <dcterms:modified xsi:type="dcterms:W3CDTF">2026-04-22T11:40:26Z</dcterms:modified>
</cp:coreProperties>
</file>